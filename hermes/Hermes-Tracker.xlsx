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ere we are" sheetId="1" state="visible" r:id="rId1"/>
    <sheet xmlns:r="http://schemas.openxmlformats.org/officeDocument/2006/relationships" name="Archive" sheetId="2" state="visible" r:id="rId2"/>
    <sheet xmlns:r="http://schemas.openxmlformats.org/officeDocument/2006/relationships" name="Tasks" sheetId="3" state="visible" r:id="rId3"/>
    <sheet xmlns:r="http://schemas.openxmlformats.org/officeDocument/2006/relationships" name="Standing rules" sheetId="4" state="visible" r:id="rId4"/>
    <sheet xmlns:r="http://schemas.openxmlformats.org/officeDocument/2006/relationships" name="How it was done" sheetId="5" state="visible" r:id="rId5"/>
  </sheets>
  <definedNames>
    <definedName name="_xlnm._FilterDatabase" localSheetId="2" hidden="1">'Tasks'!$A$1:$H$17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D9D9D9"/>
          <bgColor rgb="00D9D9D9"/>
        </patternFill>
      </fill>
    </dxf>
    <dxf>
      <fill>
        <patternFill patternType="solid">
          <fgColor rgb="00FFFFFF"/>
          <bgColor rgb="00FFFF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</cols>
  <sheetData>
    <row r="1">
      <c r="A1" s="1" t="inlineStr">
        <is>
          <t>Hermes: where we are</t>
        </is>
      </c>
    </row>
    <row r="2">
      <c r="A2" t="inlineStr">
        <is>
          <t>Last updated</t>
        </is>
      </c>
      <c r="B2" t="inlineStr">
        <is>
          <t>Oct 17 2:25 AM ET</t>
        </is>
      </c>
    </row>
    <row r="3">
      <c r="A3" s="2" t="inlineStr">
        <is>
          <t>Status</t>
        </is>
      </c>
      <c r="B3" s="2" t="inlineStr">
        <is>
          <t>Count</t>
        </is>
      </c>
    </row>
    <row r="4">
      <c r="A4" t="inlineStr">
        <is>
          <t>Done</t>
        </is>
      </c>
      <c r="B4">
        <f>COUNTIF(Tasks!D2:D200,"Done")</f>
        <v/>
      </c>
    </row>
    <row r="5">
      <c r="A5" t="inlineStr">
        <is>
          <t>In progress</t>
        </is>
      </c>
      <c r="B5">
        <f>COUNTIF(Tasks!D2:D200,"In progress")</f>
        <v/>
      </c>
    </row>
    <row r="6">
      <c r="A6" t="inlineStr">
        <is>
          <t>Blocked</t>
        </is>
      </c>
      <c r="B6">
        <f>COUNTIF(Tasks!D2:D200,"Blocked")</f>
        <v/>
      </c>
    </row>
    <row r="7">
      <c r="A7" t="inlineStr">
        <is>
          <t>On hold</t>
        </is>
      </c>
      <c r="B7">
        <f>COUNTIF(Tasks!D2:D200,"On hold")</f>
        <v/>
      </c>
    </row>
    <row r="8">
      <c r="A8" t="inlineStr">
        <is>
          <t>Not started</t>
        </is>
      </c>
      <c r="B8">
        <f>COUNTIF(Tasks!D2:D200,"Not started")</f>
        <v/>
      </c>
    </row>
    <row r="9">
      <c r="A9" s="3" t="inlineStr">
        <is>
          <t>Total</t>
        </is>
      </c>
      <c r="B9" s="3">
        <f>SUM(B4:B8)</f>
        <v/>
      </c>
    </row>
    <row r="11">
      <c r="A11" t="inlineStr">
        <is>
          <t>% done</t>
        </is>
      </c>
      <c r="B11" s="4">
        <f>IF(B9=0,0,B4/B9)</f>
        <v/>
      </c>
    </row>
    <row r="13">
      <c r="A13" s="3" t="inlineStr">
        <is>
          <t>Next up (Blocked and Not started, top of list)</t>
        </is>
      </c>
    </row>
    <row r="14">
      <c r="A14" t="inlineStr">
        <is>
          <t>Open the Tasks tab and filter Status. Blocked items name exactly what is missing.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70" customWidth="1" min="3" max="3"/>
    <col width="12" customWidth="1" min="4" max="4"/>
    <col width="40" customWidth="1" min="5" max="5"/>
    <col width="30" customWidth="1" min="6" max="6"/>
    <col width="10" customWidth="1" min="7" max="7"/>
    <col width="20" customWidth="1" min="8" max="8"/>
    <col width="20" customWidth="1" min="9" max="9"/>
  </cols>
  <sheetData>
    <row r="1">
      <c r="A1" s="5" t="inlineStr">
        <is>
          <t>ID</t>
        </is>
      </c>
      <c r="B1" s="5" t="inlineStr">
        <is>
          <t>Project</t>
        </is>
      </c>
      <c r="C1" s="5" t="inlineStr">
        <is>
          <t>Task</t>
        </is>
      </c>
      <c r="D1" s="5" t="inlineStr">
        <is>
          <t>Status</t>
        </is>
      </c>
      <c r="E1" s="5" t="inlineStr">
        <is>
          <t>Next step</t>
        </is>
      </c>
      <c r="F1" s="5" t="inlineStr">
        <is>
          <t>Blocked by / waiting on</t>
        </is>
      </c>
      <c r="G1" s="5" t="inlineStr">
        <is>
          <t>Owner</t>
        </is>
      </c>
      <c r="H1" s="5" t="inlineStr">
        <is>
          <t>Updated</t>
        </is>
      </c>
      <c r="I1" s="5" t="inlineStr">
        <is>
          <t>Archived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60" customWidth="1" min="3" max="3"/>
    <col width="13" customWidth="1" min="4" max="4"/>
    <col width="48" customWidth="1" min="5" max="5"/>
    <col width="48" customWidth="1" min="6" max="6"/>
    <col width="9" customWidth="1" min="7" max="7"/>
    <col width="20" customWidth="1" min="8" max="8"/>
  </cols>
  <sheetData>
    <row r="1">
      <c r="A1" s="5" t="inlineStr">
        <is>
          <t>ID</t>
        </is>
      </c>
      <c r="B1" s="5" t="inlineStr">
        <is>
          <t>Project</t>
        </is>
      </c>
      <c r="C1" s="5" t="inlineStr">
        <is>
          <t>Task</t>
        </is>
      </c>
      <c r="D1" s="5" t="inlineStr">
        <is>
          <t>Status</t>
        </is>
      </c>
      <c r="E1" s="5" t="inlineStr">
        <is>
          <t>Next step</t>
        </is>
      </c>
      <c r="F1" s="5" t="inlineStr">
        <is>
          <t>Blocked by / waiting on</t>
        </is>
      </c>
      <c r="G1" s="5" t="inlineStr">
        <is>
          <t>Owner</t>
        </is>
      </c>
      <c r="H1" s="5" t="inlineStr">
        <is>
          <t>Updated</t>
        </is>
      </c>
    </row>
    <row r="2">
      <c r="A2" s="6" t="inlineStr">
        <is>
          <t>H1</t>
        </is>
      </c>
      <c r="B2" s="6" t="inlineStr">
        <is>
          <t>Setup</t>
        </is>
      </c>
      <c r="C2" s="6" t="inlineStr">
        <is>
          <t>Hermes Agent installed on the new laptop (i5-7300U, 16 GB, Windows 10 Pro 22H2)</t>
        </is>
      </c>
      <c r="D2" s="6" t="inlineStr">
        <is>
          <t>Done</t>
        </is>
      </c>
      <c r="E2" s="6" t="inlineStr">
        <is>
          <t>Verify in H2</t>
        </is>
      </c>
      <c r="F2" s="6" t="inlineStr">
        <is>
          <t>Per Neko Oct 17. Not yet seen by Claude (this chat is linked to the old i3 laptop)</t>
        </is>
      </c>
      <c r="G2" s="6" t="inlineStr">
        <is>
          <t>Neko</t>
        </is>
      </c>
      <c r="H2" s="6" t="inlineStr">
        <is>
          <t>Oct 17 2:25 AM ET</t>
        </is>
      </c>
    </row>
    <row r="3">
      <c r="A3" s="6" t="inlineStr">
        <is>
          <t>H2</t>
        </is>
      </c>
      <c r="B3" s="6" t="inlineStr">
        <is>
          <t>Setup</t>
        </is>
      </c>
      <c r="C3" s="6" t="inlineStr">
        <is>
          <t>Verify the install: run hermes doctor, then hermes, ask it one small question</t>
        </is>
      </c>
      <c r="D3" s="6" t="inlineStr">
        <is>
          <t>Not started</t>
        </is>
      </c>
      <c r="E3" s="6" t="inlineStr">
        <is>
          <t>Mon Oct 19, 9-10 AM ET session</t>
        </is>
      </c>
      <c r="F3" s="6" t="inlineStr">
        <is>
          <t>Neko at the new laptop</t>
        </is>
      </c>
      <c r="G3" s="6" t="inlineStr">
        <is>
          <t>Claude</t>
        </is>
      </c>
      <c r="H3" s="6" t="inlineStr">
        <is>
          <t>Oct 17 2:25 AM ET</t>
        </is>
      </c>
    </row>
    <row r="4">
      <c r="A4" s="6" t="inlineStr">
        <is>
          <t>H3</t>
        </is>
      </c>
      <c r="B4" s="6" t="inlineStr">
        <is>
          <t>Setup</t>
        </is>
      </c>
      <c r="C4" s="6" t="inlineStr">
        <is>
          <t>Model: DeepSeek chosen per Neko. Confirm the exact model supports tool calling and 64K+ context, check the monthly cost, and set a spend limit</t>
        </is>
      </c>
      <c r="D4" s="6" t="inlineStr">
        <is>
          <t>In progress</t>
        </is>
      </c>
      <c r="E4" s="6" t="inlineStr">
        <is>
          <t>Check the model in Hermes config with Neko; any spend needs his yes</t>
        </is>
      </c>
      <c r="F4" s="6" t="inlineStr">
        <is>
          <t>Neko: yes on spend. Key goes only in Hermes config, never in chat</t>
        </is>
      </c>
      <c r="G4" s="6" t="inlineStr">
        <is>
          <t>Claude</t>
        </is>
      </c>
      <c r="H4" s="6" t="inlineStr">
        <is>
          <t>Oct 17 2:25 AM ET</t>
        </is>
      </c>
    </row>
    <row r="5">
      <c r="A5" s="6" t="inlineStr">
        <is>
          <t>H4</t>
        </is>
      </c>
      <c r="B5" s="6" t="inlineStr">
        <is>
          <t>Setup</t>
        </is>
      </c>
      <c r="C5" s="6" t="inlineStr">
        <is>
          <t>Fallback model so one rate limit does not stall a run (OpenRouter free or NVIDIA NIM free credits)</t>
        </is>
      </c>
      <c r="D5" s="6" t="inlineStr">
        <is>
          <t>Not started</t>
        </is>
      </c>
      <c r="E5" s="6" t="inlineStr">
        <is>
          <t>Add fallback_providers to Hermes config after H3</t>
        </is>
      </c>
      <c r="F5" s="6" t="inlineStr">
        <is>
          <t>H3</t>
        </is>
      </c>
      <c r="G5" s="6" t="inlineStr">
        <is>
          <t>Claude</t>
        </is>
      </c>
      <c r="H5" s="6" t="inlineStr">
        <is>
          <t>Oct 17 2:25 AM ET</t>
        </is>
      </c>
    </row>
    <row r="6">
      <c r="A6" s="6" t="inlineStr">
        <is>
          <t>H5</t>
        </is>
      </c>
      <c r="B6" s="6" t="inlineStr">
        <is>
          <t>Setup</t>
        </is>
      </c>
      <c r="C6" s="6" t="inlineStr">
        <is>
          <t>Keep the laptop awake: Screen and Sleep set to Never, lid close set to Do nothing, plugged in</t>
        </is>
      </c>
      <c r="D6" s="6" t="inlineStr">
        <is>
          <t>Not started</t>
        </is>
      </c>
      <c r="E6" s="6" t="inlineStr">
        <is>
          <t>Neko does it at the laptop (steps were given Oct 15)</t>
        </is>
      </c>
      <c r="F6" s="6" t="inlineStr">
        <is>
          <t>Neko at the new laptop</t>
        </is>
      </c>
      <c r="G6" s="6" t="inlineStr">
        <is>
          <t>Neko</t>
        </is>
      </c>
      <c r="H6" s="6" t="inlineStr">
        <is>
          <t>Oct 17 2:25 AM ET</t>
        </is>
      </c>
    </row>
    <row r="7">
      <c r="A7" s="6" t="inlineStr">
        <is>
          <t>H6</t>
        </is>
      </c>
      <c r="B7" s="6" t="inlineStr">
        <is>
          <t>Safety</t>
        </is>
      </c>
      <c r="C7" s="6" t="inlineStr">
        <is>
          <t>Install Docker Desktop (WSL2) and set Hermes terminal backend to Docker so its commands run in a sandbox</t>
        </is>
      </c>
      <c r="D7" s="6" t="inlineStr">
        <is>
          <t>Not started</t>
        </is>
      </c>
      <c r="E7" s="6" t="inlineStr">
        <is>
          <t>Install after H2 passes</t>
        </is>
      </c>
      <c r="F7" s="6" t="inlineStr">
        <is>
          <t>H2</t>
        </is>
      </c>
      <c r="G7" s="6" t="inlineStr">
        <is>
          <t>Claude</t>
        </is>
      </c>
      <c r="H7" s="6" t="inlineStr">
        <is>
          <t>Oct 17 2:25 AM ET</t>
        </is>
      </c>
    </row>
    <row r="8">
      <c r="A8" s="6" t="inlineStr">
        <is>
          <t>H7</t>
        </is>
      </c>
      <c r="B8" s="6" t="inlineStr">
        <is>
          <t>Safety</t>
        </is>
      </c>
      <c r="C8" s="6" t="inlineStr">
        <is>
          <t>Dedicated-machine rules: no personal logins in any browser Hermes can reach; API server bound to 127.0.0.1 with a long random key; secrets only in Hermes config</t>
        </is>
      </c>
      <c r="D8" s="6" t="inlineStr">
        <is>
          <t>Not started</t>
        </is>
      </c>
      <c r="E8" s="6" t="inlineStr">
        <is>
          <t>Set during the Monday session</t>
        </is>
      </c>
      <c r="F8" s="6" t="inlineStr">
        <is>
          <t>H2</t>
        </is>
      </c>
      <c r="G8" s="6" t="inlineStr">
        <is>
          <t>Claude</t>
        </is>
      </c>
      <c r="H8" s="6" t="inlineStr">
        <is>
          <t>Oct 17 2:25 AM ET</t>
        </is>
      </c>
    </row>
    <row r="9">
      <c r="A9" s="6" t="inlineStr">
        <is>
          <t>H8</t>
        </is>
      </c>
      <c r="B9" s="6" t="inlineStr">
        <is>
          <t>Reach</t>
        </is>
      </c>
      <c r="C9" s="6" t="inlineStr">
        <is>
          <t>Telegram gateway so Hermes messages Neko when a task finishes</t>
        </is>
      </c>
      <c r="D9" s="6" t="inlineStr">
        <is>
          <t>Not started</t>
        </is>
      </c>
      <c r="E9" s="6" t="inlineStr">
        <is>
          <t>Neko makes the bot in BotFather; token goes in Hermes config only</t>
        </is>
      </c>
      <c r="F9" s="6" t="inlineStr">
        <is>
          <t>Neko: bot token, never in chat</t>
        </is>
      </c>
      <c r="G9" s="6" t="inlineStr">
        <is>
          <t>Neko</t>
        </is>
      </c>
      <c r="H9" s="6" t="inlineStr">
        <is>
          <t>Oct 17 2:25 AM ET</t>
        </is>
      </c>
    </row>
    <row r="10">
      <c r="A10" s="6" t="inlineStr">
        <is>
          <t>H9</t>
        </is>
      </c>
      <c r="B10" s="6" t="inlineStr">
        <is>
          <t>Reach</t>
        </is>
      </c>
      <c r="C10" s="6" t="inlineStr">
        <is>
          <t>GitHub login for Hermes on the new laptop (so it can read and push to repos)</t>
        </is>
      </c>
      <c r="D10" s="6" t="inlineStr">
        <is>
          <t>Not started</t>
        </is>
      </c>
      <c r="E10" s="6" t="inlineStr">
        <is>
          <t>Neko signs in once</t>
        </is>
      </c>
      <c r="F10" s="6" t="inlineStr">
        <is>
          <t>Neko: login</t>
        </is>
      </c>
      <c r="G10" s="6" t="inlineStr">
        <is>
          <t>Neko</t>
        </is>
      </c>
      <c r="H10" s="6" t="inlineStr">
        <is>
          <t>Oct 17 2:25 AM ET</t>
        </is>
      </c>
    </row>
    <row r="11">
      <c r="A11" s="6" t="inlineStr">
        <is>
          <t>H10</t>
        </is>
      </c>
      <c r="B11" s="6" t="inlineStr">
        <is>
          <t>Gate</t>
        </is>
      </c>
      <c r="C11" s="6" t="inlineStr">
        <is>
          <t>Test 1: Hermes reads this tracker and says what is open, with no errors</t>
        </is>
      </c>
      <c r="D11" s="6" t="inlineStr">
        <is>
          <t>Not started</t>
        </is>
      </c>
      <c r="E11" s="6" t="inlineStr">
        <is>
          <t>Run after H2</t>
        </is>
      </c>
      <c r="F11" s="6" t="inlineStr">
        <is>
          <t>H2</t>
        </is>
      </c>
      <c r="G11" s="6" t="inlineStr">
        <is>
          <t>Hermes</t>
        </is>
      </c>
      <c r="H11" s="6" t="inlineStr">
        <is>
          <t>Oct 17 2:25 AM ET</t>
        </is>
      </c>
    </row>
    <row r="12">
      <c r="A12" s="6" t="inlineStr">
        <is>
          <t>H11</t>
        </is>
      </c>
      <c r="B12" s="6" t="inlineStr">
        <is>
          <t>Gate</t>
        </is>
      </c>
      <c r="C12" s="6" t="inlineStr">
        <is>
          <t>Test 2: one small real task end to end (create a text file in a repo and push it)</t>
        </is>
      </c>
      <c r="D12" s="6" t="inlineStr">
        <is>
          <t>Not started</t>
        </is>
      </c>
      <c r="E12" s="6" t="inlineStr">
        <is>
          <t>Run after H9 and H10</t>
        </is>
      </c>
      <c r="F12" s="6" t="inlineStr">
        <is>
          <t>H9, H10</t>
        </is>
      </c>
      <c r="G12" s="6" t="inlineStr">
        <is>
          <t>Hermes</t>
        </is>
      </c>
      <c r="H12" s="6" t="inlineStr">
        <is>
          <t>Oct 17 2:25 AM ET</t>
        </is>
      </c>
    </row>
    <row r="13">
      <c r="A13" s="6" t="inlineStr">
        <is>
          <t>H12</t>
        </is>
      </c>
      <c r="B13" s="6" t="inlineStr">
        <is>
          <t>Gate</t>
        </is>
      </c>
      <c r="C13" s="6" t="inlineStr">
        <is>
          <t>Test 3: a scheduled task runs on its own (daily backup of Hermes memory and skills to a private repo)</t>
        </is>
      </c>
      <c r="D13" s="6" t="inlineStr">
        <is>
          <t>Not started</t>
        </is>
      </c>
      <c r="E13" s="6" t="inlineStr">
        <is>
          <t>Run after H11</t>
        </is>
      </c>
      <c r="F13" s="6" t="inlineStr">
        <is>
          <t>H11</t>
        </is>
      </c>
      <c r="G13" s="6" t="inlineStr">
        <is>
          <t>Hermes</t>
        </is>
      </c>
      <c r="H13" s="6" t="inlineStr">
        <is>
          <t>Oct 17 2:25 AM ET</t>
        </is>
      </c>
    </row>
    <row r="14">
      <c r="A14" s="6" t="inlineStr">
        <is>
          <t>H13</t>
        </is>
      </c>
      <c r="B14" s="6" t="inlineStr">
        <is>
          <t>Pipeline</t>
        </is>
      </c>
      <c r="C14" s="6" t="inlineStr">
        <is>
          <t>Hermes runs Derrick (Morning Word) end to end</t>
        </is>
      </c>
      <c r="D14" s="6" t="inlineStr">
        <is>
          <t>On hold</t>
        </is>
      </c>
      <c r="E14" s="6" t="inlineStr">
        <is>
          <t>Starts only after Tests 1-3 pass</t>
        </is>
      </c>
      <c r="F14" s="6" t="inlineStr">
        <is>
          <t>H10, H11, H12</t>
        </is>
      </c>
      <c r="G14" s="6" t="inlineStr">
        <is>
          <t>Hermes</t>
        </is>
      </c>
      <c r="H14" s="6" t="inlineStr">
        <is>
          <t>Oct 17 2:25 AM ET</t>
        </is>
      </c>
    </row>
    <row r="15">
      <c r="A15" s="6" t="inlineStr">
        <is>
          <t>H14</t>
        </is>
      </c>
      <c r="B15" s="6" t="inlineStr">
        <is>
          <t>Pipeline</t>
        </is>
      </c>
      <c r="C15" s="6" t="inlineStr">
        <is>
          <t>White-hat pass on the finished pipeline: try to break it, list every weakness, fix them</t>
        </is>
      </c>
      <c r="D15" s="6" t="inlineStr">
        <is>
          <t>On hold</t>
        </is>
      </c>
      <c r="E15" s="6" t="inlineStr">
        <is>
          <t>After H13 is built</t>
        </is>
      </c>
      <c r="F15" s="6" t="inlineStr">
        <is>
          <t>H13</t>
        </is>
      </c>
      <c r="G15" s="6" t="inlineStr">
        <is>
          <t>Claude</t>
        </is>
      </c>
      <c r="H15" s="6" t="inlineStr">
        <is>
          <t>Oct 17 2:25 AM ET</t>
        </is>
      </c>
    </row>
    <row r="16">
      <c r="A16" s="6" t="inlineStr">
        <is>
          <t>H15</t>
        </is>
      </c>
      <c r="B16" s="6" t="inlineStr">
        <is>
          <t>Integration</t>
        </is>
      </c>
      <c r="C16" s="6" t="inlineStr">
        <is>
          <t>Move Tracker A (Blessed Prayers and the rest) rows into this tracker</t>
        </is>
      </c>
      <c r="D16" s="6" t="inlineStr">
        <is>
          <t>On hold</t>
        </is>
      </c>
      <c r="E16" s="6" t="inlineStr">
        <is>
          <t>Only after Hermes is flawless. Neko says when</t>
        </is>
      </c>
      <c r="F16" s="6" t="inlineStr">
        <is>
          <t>Neko: go-ahead</t>
        </is>
      </c>
      <c r="G16" s="6" t="inlineStr">
        <is>
          <t>Claude</t>
        </is>
      </c>
      <c r="H16" s="6" t="inlineStr">
        <is>
          <t>Oct 17 2:25 AM ET</t>
        </is>
      </c>
    </row>
    <row r="17">
      <c r="A17" s="6" t="inlineStr">
        <is>
          <t>H16</t>
        </is>
      </c>
      <c r="B17" s="6" t="inlineStr">
        <is>
          <t>Setup</t>
        </is>
      </c>
      <c r="C17" s="6" t="inlineStr">
        <is>
          <t>Link the Claude desktop app on the new laptop to the Claude chat so Claude can see it</t>
        </is>
      </c>
      <c r="D17" s="6" t="inlineStr">
        <is>
          <t>Not started</t>
        </is>
      </c>
      <c r="E17" s="6" t="inlineStr">
        <is>
          <t>Mon 9 AM: open the chat on the new laptop, choose Link to this computer</t>
        </is>
      </c>
      <c r="F17" s="6" t="inlineStr">
        <is>
          <t>Neko at the new laptop</t>
        </is>
      </c>
      <c r="G17" s="6" t="inlineStr">
        <is>
          <t>Neko</t>
        </is>
      </c>
      <c r="H17" s="6" t="inlineStr">
        <is>
          <t>Oct 17 2:25 AM ET</t>
        </is>
      </c>
    </row>
  </sheetData>
  <autoFilter ref="A1:H17"/>
  <conditionalFormatting sqref="D2:D200">
    <cfRule type="cellIs" priority="1" operator="equal" dxfId="0">
      <formula>"Done"</formula>
    </cfRule>
    <cfRule type="cellIs" priority="2" operator="equal" dxfId="1">
      <formula>"Blocked"</formula>
    </cfRule>
    <cfRule type="cellIs" priority="3" operator="equal" dxfId="2">
      <formula>"In progress"</formula>
    </cfRule>
    <cfRule type="cellIs" priority="4" operator="equal" dxfId="3">
      <formula>"On hold"</formula>
    </cfRule>
    <cfRule type="cellIs" priority="5" operator="equal" dxfId="4">
      <formula>"Not started"</formula>
    </cfRule>
  </conditionalFormatting>
  <dataValidations count="1">
    <dataValidation sqref="D2:D200" showDropDown="0" showInputMessage="0" showErrorMessage="0" allowBlank="0" type="list">
      <formula1>"Not started,In progress,Blocked,On hold,Done"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2" t="inlineStr">
        <is>
          <t>Rule</t>
        </is>
      </c>
      <c r="B1" s="2" t="inlineStr">
        <is>
          <t>Detail</t>
        </is>
      </c>
    </row>
    <row r="2">
      <c r="A2" s="7" t="inlineStr">
        <is>
          <t>Own tracker</t>
        </is>
      </c>
      <c r="B2" s="7" t="inlineStr">
        <is>
          <t>This file is Hermes' tracker (Tracker B). The Blessed Prayers tracker (overnight/Claude-Work-Tracker.xlsx, Tracker A) stays separate. Neko, Oct 17, 2026: get Hermes running flawless first, then bring Tracker A's items in. No other sheets, docs or trackers for Hermes.</t>
        </is>
      </c>
    </row>
    <row r="3">
      <c r="A3" s="7" t="inlineStr">
        <is>
          <t>Gate</t>
        </is>
      </c>
      <c r="B3" s="7" t="inlineStr">
        <is>
          <t>No Derrick or pipeline work until Tests 1, 2 and 3 (H10-H12) pass. Every claim of 'it works' needs the test output.</t>
        </is>
      </c>
    </row>
    <row r="4">
      <c r="A4" s="7" t="inlineStr">
        <is>
          <t>Money</t>
        </is>
      </c>
      <c r="B4" s="7" t="inlineStr">
        <is>
          <t>Ask Neko before spending any of his money or credits. Free first. Any model spend needs his yes.</t>
        </is>
      </c>
    </row>
    <row r="5">
      <c r="A5" s="7" t="inlineStr">
        <is>
          <t>Secrets</t>
        </is>
      </c>
      <c r="B5" s="7" t="inlineStr">
        <is>
          <t>Passwords, API keys and tokens never go in chat. They live only in Hermes config or repo secrets.</t>
        </is>
      </c>
    </row>
    <row r="6">
      <c r="A6" s="7" t="inlineStr">
        <is>
          <t>Safety</t>
        </is>
      </c>
      <c r="B6" s="7" t="inlineStr">
        <is>
          <t>Dedicated machine: no personal logins in browsers Hermes can reach; Hermes commands run in the Docker sandbox once H6 is done.</t>
        </is>
      </c>
    </row>
    <row r="7">
      <c r="A7" s="7" t="inlineStr">
        <is>
          <t>Inherited</t>
        </is>
      </c>
      <c r="B7" s="7" t="inlineStr">
        <is>
          <t>Nothing posts anywhere without Neko's yes on that exact file. KJV only for scripture. No 'tomorrow' promises in Derrick content. Never tag people in posts.</t>
        </is>
      </c>
    </row>
    <row r="8">
      <c r="A8" s="7" t="inlineStr">
        <is>
          <t>Update habit</t>
        </is>
      </c>
      <c r="B8" s="7" t="inlineStr">
        <is>
          <t>After every piece of work: update Status, Next step and Updated on this sheet, run python3 tools/tracker_sync.py hermes/Hermes-Tracker.xlsx hermes/TRACKER.md, commit and push before replying. Updated holds date AND time in Eastern, like 'Oct 17 2:30 AM ET'; set Last updated on the Where we are tab to the same stamp.</t>
        </is>
      </c>
    </row>
    <row r="9">
      <c r="A9" s="7" t="inlineStr">
        <is>
          <t>Stale check</t>
        </is>
      </c>
      <c r="B9" s="7" t="inlineStr">
        <is>
          <t>Before changing a row, read its Updated stamp. If newer than what you last read, git pull and reconcile first. Never overwrite a newer row with older information.</t>
        </is>
      </c>
    </row>
    <row r="10">
      <c r="A10" s="7" t="inlineStr">
        <is>
          <t>Integration</t>
        </is>
      </c>
      <c r="B10" s="7" t="inlineStr">
        <is>
          <t>When Neko says Hermes is flawless, copy Tracker A rows here (same columns), mark them moved in Tracker A, and note it under How it was done.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2" t="inlineStr">
        <is>
          <t>Job</t>
        </is>
      </c>
      <c r="B1" s="2" t="inlineStr">
        <is>
          <t>Method that worked</t>
        </is>
      </c>
      <c r="C1" s="2" t="inlineStr">
        <is>
          <t>Where / notes</t>
        </is>
      </c>
    </row>
    <row r="2">
      <c r="A2" s="7" t="inlineStr">
        <is>
          <t>Set the Hermes model</t>
        </is>
      </c>
      <c r="B2" s="7" t="inlineStr">
        <is>
          <t>Edit ~/.hermes/config.yaml: model: provider and default. Store keys with hermes config set &lt;KEY_NAME&gt; &lt;value&gt; (Neko types the key himself). Check with hermes doctor, start with hermes, switch provider with hermes model.</t>
        </is>
      </c>
      <c r="C2" s="7" t="inlineStr">
        <is>
          <t>Reference from the pinggy.io Hermes guide. NOT yet run on this laptop.</t>
        </is>
      </c>
    </row>
    <row r="3">
      <c r="A3" s="7" t="inlineStr">
        <is>
          <t>Free model route (fallback)</t>
        </is>
      </c>
      <c r="B3" s="7" t="inlineStr">
        <is>
          <t>OpenRouter free models: 20 requests/min, 50/day with no credits, 1,000/day after a one-time $10 credit purchase. Model must support tool calling and 64K+ context. Free model IDs change, so list fresh before choosing.</t>
        </is>
      </c>
      <c r="C3" s="7" t="inlineStr">
        <is>
          <t>Research Oct 16-17. NVIDIA NIM gives free credits (about 40 req/min) as another fallback.</t>
        </is>
      </c>
    </row>
    <row r="4">
      <c r="A4" s="7" t="inlineStr">
        <is>
          <t>Sandbox</t>
        </is>
      </c>
      <c r="B4" s="7" t="inlineStr">
        <is>
          <t>Hermes can run shell commands on the machine. Use the Docker terminal backend for any model not yet trusted.</t>
        </is>
      </c>
      <c r="C4" s="7" t="inlineStr">
        <is>
          <t>Needs Docker Desktop with WSL2 (supported on Windows 10 22H2).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2026-10-16T12:44:48Z</dcterms:created>
  <dcterms:modified xmlns:dcterms="http://purl.org/dc/terms/" xmlns:xsi="http://www.w3.org/2001/XMLSchema-instance" xsi:type="dcterms:W3CDTF">2026-10-17T06:25:32Z</dcterms:modified>
</cp:coreProperties>
</file>