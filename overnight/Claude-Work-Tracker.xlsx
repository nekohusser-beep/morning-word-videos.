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here we are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Standing rules" sheetId="3" state="visible" r:id="rId3"/>
  </sheets>
  <definedNames>
    <definedName name="_xlnm._FilterDatabase" localSheetId="1" hidden="1">'Tasks'!$A$1:$H$23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9D9D9"/>
          <bgColor rgb="00D9D9D9"/>
        </patternFill>
      </fill>
    </dxf>
    <dxf>
      <fill>
        <patternFill patternType="solid">
          <fgColor rgb="00FFFFFF"/>
          <bgColor rgb="00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Where we are</t>
        </is>
      </c>
    </row>
    <row r="3">
      <c r="A3" s="2" t="inlineStr">
        <is>
          <t>Status</t>
        </is>
      </c>
      <c r="B3" s="2" t="inlineStr">
        <is>
          <t>Count</t>
        </is>
      </c>
    </row>
    <row r="4">
      <c r="A4" t="inlineStr">
        <is>
          <t>Done</t>
        </is>
      </c>
      <c r="B4">
        <f>COUNTIF(Tasks!D2:D200,"Done")</f>
        <v/>
      </c>
    </row>
    <row r="5">
      <c r="A5" t="inlineStr">
        <is>
          <t>In progress</t>
        </is>
      </c>
      <c r="B5">
        <f>COUNTIF(Tasks!D2:D200,"In progress")</f>
        <v/>
      </c>
    </row>
    <row r="6">
      <c r="A6" t="inlineStr">
        <is>
          <t>Blocked</t>
        </is>
      </c>
      <c r="B6">
        <f>COUNTIF(Tasks!D2:D200,"Blocked")</f>
        <v/>
      </c>
    </row>
    <row r="7">
      <c r="A7" t="inlineStr">
        <is>
          <t>On hold</t>
        </is>
      </c>
      <c r="B7">
        <f>COUNTIF(Tasks!D2:D200,"On hold")</f>
        <v/>
      </c>
    </row>
    <row r="8">
      <c r="A8" t="inlineStr">
        <is>
          <t>Not started</t>
        </is>
      </c>
      <c r="B8">
        <f>COUNTIF(Tasks!D2:D200,"Not started")</f>
        <v/>
      </c>
    </row>
    <row r="9">
      <c r="A9" s="3" t="inlineStr">
        <is>
          <t>Total</t>
        </is>
      </c>
      <c r="B9" s="3">
        <f>SUM(B4:B8)</f>
        <v/>
      </c>
    </row>
    <row r="11">
      <c r="A11" t="inlineStr">
        <is>
          <t>% done</t>
        </is>
      </c>
      <c r="B11" s="4">
        <f>IF(B9=0,0,B4/B9)</f>
        <v/>
      </c>
    </row>
    <row r="13">
      <c r="A13" s="3" t="inlineStr">
        <is>
          <t>Next up (Blocked and Not started, top of list)</t>
        </is>
      </c>
    </row>
    <row r="14">
      <c r="A14" t="inlineStr">
        <is>
          <t>Open the Tasks tab and filter Status. Blocked items name exactly what is missing.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60" customWidth="1" min="3" max="3"/>
    <col width="13" customWidth="1" min="4" max="4"/>
    <col width="48" customWidth="1" min="5" max="5"/>
    <col width="48" customWidth="1" min="6" max="6"/>
    <col width="9" customWidth="1" min="7" max="7"/>
    <col width="9" customWidth="1" min="8" max="8"/>
  </cols>
  <sheetData>
    <row r="1">
      <c r="A1" s="5" t="inlineStr">
        <is>
          <t>ID</t>
        </is>
      </c>
      <c r="B1" s="5" t="inlineStr">
        <is>
          <t>Project</t>
        </is>
      </c>
      <c r="C1" s="5" t="inlineStr">
        <is>
          <t>Task</t>
        </is>
      </c>
      <c r="D1" s="5" t="inlineStr">
        <is>
          <t>Status</t>
        </is>
      </c>
      <c r="E1" s="5" t="inlineStr">
        <is>
          <t>Next step</t>
        </is>
      </c>
      <c r="F1" s="5" t="inlineStr">
        <is>
          <t>Blocked by / waiting on</t>
        </is>
      </c>
      <c r="G1" s="5" t="inlineStr">
        <is>
          <t>Owner</t>
        </is>
      </c>
      <c r="H1" s="5" t="inlineStr">
        <is>
          <t>Updated</t>
        </is>
      </c>
    </row>
    <row r="2">
      <c r="A2" s="6" t="inlineStr">
        <is>
          <t>S1</t>
        </is>
      </c>
      <c r="B2" s="6" t="inlineStr">
        <is>
          <t>Sleep Bible</t>
        </is>
      </c>
      <c r="C2" s="6" t="inlineStr">
        <is>
          <t>Psalms video live on Blessed Prayers YouTube + shop links in description</t>
        </is>
      </c>
      <c r="D2" s="6" t="inlineStr">
        <is>
          <t>Done</t>
        </is>
      </c>
      <c r="E2" s="6" t="inlineStr">
        <is>
          <t>None</t>
        </is>
      </c>
      <c r="F2" s="6" t="inlineStr"/>
      <c r="G2" s="6" t="inlineStr">
        <is>
          <t>Claude</t>
        </is>
      </c>
      <c r="H2" s="6" t="inlineStr">
        <is>
          <t>Oct 16</t>
        </is>
      </c>
    </row>
    <row r="3">
      <c r="A3" s="6" t="inlineStr">
        <is>
          <t>S2</t>
        </is>
      </c>
      <c r="B3" s="6" t="inlineStr">
        <is>
          <t>Sleep Bible</t>
        </is>
      </c>
      <c r="C3" s="6" t="inlineStr">
        <is>
          <t>John video rendered, mastered, checked</t>
        </is>
      </c>
      <c r="D3" s="6" t="inlineStr">
        <is>
          <t>Done</t>
        </is>
      </c>
      <c r="E3" s="6" t="inlineStr">
        <is>
          <t>None</t>
        </is>
      </c>
      <c r="F3" s="6" t="inlineStr"/>
      <c r="G3" s="6" t="inlineStr">
        <is>
          <t>Claude</t>
        </is>
      </c>
      <c r="H3" s="6" t="inlineStr">
        <is>
          <t>Oct 16</t>
        </is>
      </c>
    </row>
    <row r="4">
      <c r="A4" s="6" t="inlineStr">
        <is>
          <t>S3</t>
        </is>
      </c>
      <c r="B4" s="6" t="inlineStr">
        <is>
          <t>Sleep Bible</t>
        </is>
      </c>
      <c r="C4" s="6" t="inlineStr">
        <is>
          <t>Proverbs video rendered, mastered, checked</t>
        </is>
      </c>
      <c r="D4" s="6" t="inlineStr">
        <is>
          <t>Done</t>
        </is>
      </c>
      <c r="E4" s="6" t="inlineStr">
        <is>
          <t>None</t>
        </is>
      </c>
      <c r="F4" s="6" t="inlineStr"/>
      <c r="G4" s="6" t="inlineStr">
        <is>
          <t>Claude</t>
        </is>
      </c>
      <c r="H4" s="6" t="inlineStr">
        <is>
          <t>Oct 16</t>
        </is>
      </c>
    </row>
    <row r="5">
      <c r="A5" s="6" t="inlineStr">
        <is>
          <t>S4</t>
        </is>
      </c>
      <c r="B5" s="6" t="inlineStr">
        <is>
          <t>Sleep Bible</t>
        </is>
      </c>
      <c r="C5" s="6" t="inlineStr">
        <is>
          <t>John and Proverbs thumbnails (modest woman on beach, approved)</t>
        </is>
      </c>
      <c r="D5" s="6" t="inlineStr">
        <is>
          <t>Done</t>
        </is>
      </c>
      <c r="E5" s="6" t="inlineStr">
        <is>
          <t>None</t>
        </is>
      </c>
      <c r="F5" s="6" t="inlineStr"/>
      <c r="G5" s="6" t="inlineStr">
        <is>
          <t>Claude</t>
        </is>
      </c>
      <c r="H5" s="6" t="inlineStr">
        <is>
          <t>Oct 16</t>
        </is>
      </c>
    </row>
    <row r="6">
      <c r="A6" s="6" t="inlineStr">
        <is>
          <t>S5</t>
        </is>
      </c>
      <c r="B6" s="6" t="inlineStr">
        <is>
          <t>Sleep Bible</t>
        </is>
      </c>
      <c r="C6" s="6" t="inlineStr">
        <is>
          <t>Shop and book links in John, Proverbs, Psalms descriptions</t>
        </is>
      </c>
      <c r="D6" s="6" t="inlineStr">
        <is>
          <t>Done</t>
        </is>
      </c>
      <c r="E6" s="6" t="inlineStr">
        <is>
          <t>None</t>
        </is>
      </c>
      <c r="F6" s="6" t="inlineStr"/>
      <c r="G6" s="6" t="inlineStr">
        <is>
          <t>Claude</t>
        </is>
      </c>
      <c r="H6" s="6" t="inlineStr">
        <is>
          <t>Oct 16</t>
        </is>
      </c>
    </row>
    <row r="7">
      <c r="A7" s="6" t="inlineStr">
        <is>
          <t>S6</t>
        </is>
      </c>
      <c r="B7" s="6" t="inlineStr">
        <is>
          <t>Sleep Bible</t>
        </is>
      </c>
      <c r="C7" s="6" t="inlineStr">
        <is>
          <t>Upload John and Proverbs to YouTube as private with thumbnails</t>
        </is>
      </c>
      <c r="D7" s="6" t="inlineStr">
        <is>
          <t>Blocked</t>
        </is>
      </c>
      <c r="E7" s="6" t="inlineStr">
        <is>
          <t>Run youtube-upload workflow (privacy=private, thumbnail_path set)</t>
        </is>
      </c>
      <c r="F7" s="6" t="inlineStr">
        <is>
          <t>YT_CLIENT_ID, YT_CLIENT_SECRET, YT_REFRESH_TOKEN missing from repo secrets</t>
        </is>
      </c>
      <c r="G7" s="6" t="inlineStr">
        <is>
          <t>Neko</t>
        </is>
      </c>
      <c r="H7" s="6" t="inlineStr">
        <is>
          <t>Oct 16</t>
        </is>
      </c>
    </row>
    <row r="8">
      <c r="A8" s="6" t="inlineStr">
        <is>
          <t>S7</t>
        </is>
      </c>
      <c r="B8" s="6" t="inlineStr">
        <is>
          <t>Sleep Bible</t>
        </is>
      </c>
      <c r="C8" s="6" t="inlineStr">
        <is>
          <t>Derrick promos for John and Proverbs</t>
        </is>
      </c>
      <c r="D8" s="6" t="inlineStr">
        <is>
          <t>Not started</t>
        </is>
      </c>
      <c r="E8" s="6" t="inlineStr">
        <is>
          <t>Build after HeyGen voice fix</t>
        </is>
      </c>
      <c r="F8" s="6" t="inlineStr">
        <is>
          <t>Derrick voice change in HeyGen; Neko go on promo credits</t>
        </is>
      </c>
      <c r="G8" s="6" t="inlineStr">
        <is>
          <t>Claude</t>
        </is>
      </c>
      <c r="H8" s="6" t="inlineStr">
        <is>
          <t>Oct 16</t>
        </is>
      </c>
    </row>
    <row r="9">
      <c r="A9" s="6" t="inlineStr">
        <is>
          <t>S8</t>
        </is>
      </c>
      <c r="B9" s="6" t="inlineStr">
        <is>
          <t>Sleep Bible</t>
        </is>
      </c>
      <c r="C9" s="6" t="inlineStr">
        <is>
          <t>Genesis sleep reading</t>
        </is>
      </c>
      <c r="D9" s="6" t="inlineStr">
        <is>
          <t>Not started</t>
        </is>
      </c>
      <c r="E9" s="6" t="inlineStr">
        <is>
          <t>Needs Neko's go; no render exists</t>
        </is>
      </c>
      <c r="F9" s="6" t="inlineStr">
        <is>
          <t>Neko go</t>
        </is>
      </c>
      <c r="G9" s="6" t="inlineStr">
        <is>
          <t>Claude</t>
        </is>
      </c>
      <c r="H9" s="6" t="inlineStr">
        <is>
          <t>Oct 16</t>
        </is>
      </c>
    </row>
    <row r="10">
      <c r="A10" s="6" t="inlineStr">
        <is>
          <t>S9</t>
        </is>
      </c>
      <c r="B10" s="6" t="inlineStr">
        <is>
          <t>Sleep Bible</t>
        </is>
      </c>
      <c r="C10" s="6" t="inlineStr">
        <is>
          <t>Pinned comment with shop link on each sleep video</t>
        </is>
      </c>
      <c r="D10" s="6" t="inlineStr">
        <is>
          <t>Not started</t>
        </is>
      </c>
      <c r="E10" s="6" t="inlineStr">
        <is>
          <t>Add once videos are public</t>
        </is>
      </c>
      <c r="F10" s="6" t="inlineStr"/>
      <c r="G10" s="6" t="inlineStr">
        <is>
          <t>Claude</t>
        </is>
      </c>
      <c r="H10" s="6" t="inlineStr">
        <is>
          <t>Oct 16</t>
        </is>
      </c>
    </row>
    <row r="11">
      <c r="A11" s="6" t="inlineStr">
        <is>
          <t>S10</t>
        </is>
      </c>
      <c r="B11" s="6" t="inlineStr">
        <is>
          <t>Sleep Bible</t>
        </is>
      </c>
      <c r="C11" s="6" t="inlineStr">
        <is>
          <t>YouTube cards / end screens pointing to books</t>
        </is>
      </c>
      <c r="D11" s="6" t="inlineStr">
        <is>
          <t>Not started</t>
        </is>
      </c>
      <c r="E11" s="6" t="inlineStr">
        <is>
          <t>Set in Studio video editor</t>
        </is>
      </c>
      <c r="F11" s="6" t="inlineStr"/>
      <c r="G11" s="6" t="inlineStr">
        <is>
          <t>Claude</t>
        </is>
      </c>
      <c r="H11" s="6" t="inlineStr">
        <is>
          <t>Oct 16</t>
        </is>
      </c>
    </row>
    <row r="12">
      <c r="A12" s="6" t="inlineStr">
        <is>
          <t>M1</t>
        </is>
      </c>
      <c r="B12" s="6" t="inlineStr">
        <is>
          <t>Morning Word</t>
        </is>
      </c>
      <c r="C12" s="6" t="inlineStr">
        <is>
          <t>Day 4 (1 Peter 5:7) delivered by Buffer to YouTube, Instagram, TikTok</t>
        </is>
      </c>
      <c r="D12" s="6" t="inlineStr">
        <is>
          <t>Done</t>
        </is>
      </c>
      <c r="E12" s="6" t="inlineStr">
        <is>
          <t>None</t>
        </is>
      </c>
      <c r="F12" s="6" t="inlineStr"/>
      <c r="G12" s="6" t="inlineStr">
        <is>
          <t>Claude</t>
        </is>
      </c>
      <c r="H12" s="6" t="inlineStr">
        <is>
          <t>Oct 16</t>
        </is>
      </c>
    </row>
    <row r="13">
      <c r="A13" s="6" t="inlineStr">
        <is>
          <t>M2</t>
        </is>
      </c>
      <c r="B13" s="6" t="inlineStr">
        <is>
          <t>Morning Word</t>
        </is>
      </c>
      <c r="C13" s="6" t="inlineStr">
        <is>
          <t>Joshua 1:9 image card queued for 9 AM ET</t>
        </is>
      </c>
      <c r="D13" s="6" t="inlineStr">
        <is>
          <t>Done</t>
        </is>
      </c>
      <c r="E13" s="6" t="inlineStr">
        <is>
          <t>Confirm it sent</t>
        </is>
      </c>
      <c r="F13" s="6" t="inlineStr"/>
      <c r="G13" s="6" t="inlineStr">
        <is>
          <t>Claude</t>
        </is>
      </c>
      <c r="H13" s="6" t="inlineStr">
        <is>
          <t>Oct 16</t>
        </is>
      </c>
    </row>
    <row r="14">
      <c r="A14" s="6" t="inlineStr">
        <is>
          <t>M3</t>
        </is>
      </c>
      <c r="B14" s="6" t="inlineStr">
        <is>
          <t>Morning Word</t>
        </is>
      </c>
      <c r="C14" s="6" t="inlineStr">
        <is>
          <t>Derrick voice changed in HeyGen to the ElevenLabs Derrick Hughes clone</t>
        </is>
      </c>
      <c r="D14" s="6" t="inlineStr">
        <is>
          <t>In progress</t>
        </is>
      </c>
      <c r="E14" s="6" t="inlineStr">
        <is>
          <t>Neko is changing it</t>
        </is>
      </c>
      <c r="F14" s="6" t="inlineStr">
        <is>
          <t>Neko changing voice in HeyGen</t>
        </is>
      </c>
      <c r="G14" s="6" t="inlineStr">
        <is>
          <t>Neko</t>
        </is>
      </c>
      <c r="H14" s="6" t="inlineStr">
        <is>
          <t>Oct 16</t>
        </is>
      </c>
    </row>
    <row r="15">
      <c r="A15" s="6" t="inlineStr">
        <is>
          <t>M4</t>
        </is>
      </c>
      <c r="B15" s="6" t="inlineStr">
        <is>
          <t>Morning Word</t>
        </is>
      </c>
      <c r="C15" s="6" t="inlineStr">
        <is>
          <t>Derrick Day 5 and Day 6 videos built and scheduled</t>
        </is>
      </c>
      <c r="D15" s="6" t="inlineStr">
        <is>
          <t>Not started</t>
        </is>
      </c>
      <c r="E15" s="6" t="inlineStr">
        <is>
          <t>Build after M3. Nothing in Buffer for Oct 16-17</t>
        </is>
      </c>
      <c r="F15" s="6" t="inlineStr">
        <is>
          <t>M3</t>
        </is>
      </c>
      <c r="G15" s="6" t="inlineStr">
        <is>
          <t>Claude</t>
        </is>
      </c>
      <c r="H15" s="6" t="inlineStr">
        <is>
          <t>Oct 16</t>
        </is>
      </c>
    </row>
    <row r="16">
      <c r="A16" s="6" t="inlineStr">
        <is>
          <t>P1</t>
        </is>
      </c>
      <c r="B16" s="6" t="inlineStr">
        <is>
          <t>Pinterest</t>
        </is>
      </c>
      <c r="C16" s="6" t="inlineStr">
        <is>
          <t>Pin Etsy listings (14 pins live)</t>
        </is>
      </c>
      <c r="D16" s="6" t="inlineStr">
        <is>
          <t>Done</t>
        </is>
      </c>
      <c r="E16" s="6" t="inlineStr">
        <is>
          <t>Pin remaining listings (audiobooks, teen playbook, apparel)</t>
        </is>
      </c>
      <c r="F16" s="6" t="inlineStr"/>
      <c r="G16" s="6" t="inlineStr">
        <is>
          <t>Claude</t>
        </is>
      </c>
      <c r="H16" s="6" t="inlineStr">
        <is>
          <t>Oct 16</t>
        </is>
      </c>
    </row>
    <row r="17">
      <c r="A17" s="6" t="inlineStr">
        <is>
          <t>P2</t>
        </is>
      </c>
      <c r="B17" s="6" t="inlineStr">
        <is>
          <t>Pinterest</t>
        </is>
      </c>
      <c r="C17" s="6" t="inlineStr">
        <is>
          <t>Move 2 pins to the right board (I Wanna Die Different, Built to Carry)</t>
        </is>
      </c>
      <c r="D17" s="6" t="inlineStr">
        <is>
          <t>Not started</t>
        </is>
      </c>
      <c r="E17" s="6" t="inlineStr">
        <is>
          <t>Re-pin to Christian Books &amp; Audiobooks</t>
        </is>
      </c>
      <c r="F17" s="6" t="inlineStr"/>
      <c r="G17" s="6" t="inlineStr">
        <is>
          <t>Claude</t>
        </is>
      </c>
      <c r="H17" s="6" t="inlineStr">
        <is>
          <t>Oct 16</t>
        </is>
      </c>
    </row>
    <row r="18">
      <c r="A18" s="6" t="inlineStr">
        <is>
          <t>F1</t>
        </is>
      </c>
      <c r="B18" s="6" t="inlineStr">
        <is>
          <t>Outreach</t>
        </is>
      </c>
      <c r="C18" s="6" t="inlineStr">
        <is>
          <t>Facebook posts on Blessed Prayers and Prince Nico pages</t>
        </is>
      </c>
      <c r="D18" s="6" t="inlineStr">
        <is>
          <t>Not started</t>
        </is>
      </c>
      <c r="E18" s="6" t="inlineStr">
        <is>
          <t>Post where group rules allow Etsy links</t>
        </is>
      </c>
      <c r="F18" s="6" t="inlineStr">
        <is>
          <t>Facebook site permission in browser</t>
        </is>
      </c>
      <c r="G18" s="6" t="inlineStr">
        <is>
          <t>Claude</t>
        </is>
      </c>
      <c r="H18" s="6" t="inlineStr">
        <is>
          <t>Oct 16</t>
        </is>
      </c>
    </row>
    <row r="19">
      <c r="A19" s="6" t="inlineStr">
        <is>
          <t>G1</t>
        </is>
      </c>
      <c r="B19" s="6" t="inlineStr">
        <is>
          <t>Gossip teaching</t>
        </is>
      </c>
      <c r="C19" s="6" t="inlineStr">
        <is>
          <t>7-day scripts written, saved in repo</t>
        </is>
      </c>
      <c r="D19" s="6" t="inlineStr">
        <is>
          <t>Done</t>
        </is>
      </c>
      <c r="E19" s="6" t="inlineStr">
        <is>
          <t>None</t>
        </is>
      </c>
      <c r="F19" s="6" t="inlineStr"/>
      <c r="G19" s="6" t="inlineStr">
        <is>
          <t>Claude</t>
        </is>
      </c>
      <c r="H19" s="6" t="inlineStr">
        <is>
          <t>Oct 16</t>
        </is>
      </c>
    </row>
    <row r="20">
      <c r="A20" s="6" t="inlineStr">
        <is>
          <t>G2</t>
        </is>
      </c>
      <c r="B20" s="6" t="inlineStr">
        <is>
          <t>Gossip teaching</t>
        </is>
      </c>
      <c r="C20" s="6" t="inlineStr">
        <is>
          <t>Rewrite to Neko's corrections</t>
        </is>
      </c>
      <c r="D20" s="6" t="inlineStr">
        <is>
          <t>On hold</t>
        </is>
      </c>
      <c r="E20" s="6" t="inlineStr">
        <is>
          <t>Wait for his review</t>
        </is>
      </c>
      <c r="F20" s="6" t="inlineStr">
        <is>
          <t>Neko must see scripts first</t>
        </is>
      </c>
      <c r="G20" s="6" t="inlineStr">
        <is>
          <t>Neko</t>
        </is>
      </c>
      <c r="H20" s="6" t="inlineStr">
        <is>
          <t>Oct 16</t>
        </is>
      </c>
    </row>
    <row r="21">
      <c r="A21" s="6" t="inlineStr">
        <is>
          <t>H1</t>
        </is>
      </c>
      <c r="B21" s="6" t="inlineStr">
        <is>
          <t>Shopify</t>
        </is>
      </c>
      <c r="C21" s="6" t="inlineStr">
        <is>
          <t>First-pass niche research (night-shift sleep products)</t>
        </is>
      </c>
      <c r="D21" s="6" t="inlineStr">
        <is>
          <t>Done</t>
        </is>
      </c>
      <c r="E21" s="6" t="inlineStr">
        <is>
          <t>None</t>
        </is>
      </c>
      <c r="F21" s="6" t="inlineStr"/>
      <c r="G21" s="6" t="inlineStr">
        <is>
          <t>Claude</t>
        </is>
      </c>
      <c r="H21" s="6" t="inlineStr">
        <is>
          <t>Oct 16</t>
        </is>
      </c>
    </row>
    <row r="22">
      <c r="A22" s="6" t="inlineStr">
        <is>
          <t>H2</t>
        </is>
      </c>
      <c r="B22" s="6" t="inlineStr">
        <is>
          <t>Shopify</t>
        </is>
      </c>
      <c r="C22" s="6" t="inlineStr">
        <is>
          <t>Vet real CJ product pages for the 3 candidates</t>
        </is>
      </c>
      <c r="D22" s="6" t="inlineStr">
        <is>
          <t>Not started</t>
        </is>
      </c>
      <c r="E22" s="6" t="inlineStr">
        <is>
          <t>Open CJ pages and check reviews, shipping</t>
        </is>
      </c>
      <c r="F22" s="6" t="inlineStr"/>
      <c r="G22" s="6" t="inlineStr">
        <is>
          <t>Claude</t>
        </is>
      </c>
      <c r="H22" s="6" t="inlineStr">
        <is>
          <t>Oct 16</t>
        </is>
      </c>
    </row>
    <row r="23">
      <c r="A23" s="6" t="inlineStr">
        <is>
          <t>A1</t>
        </is>
      </c>
      <c r="B23" s="6" t="inlineStr">
        <is>
          <t>Free avatar</t>
        </is>
      </c>
      <c r="C23" s="6" t="inlineStr">
        <is>
          <t>Free-face test (InfiniteTalk or MuseTalk on Kaggle)</t>
        </is>
      </c>
      <c r="D23" s="6" t="inlineStr">
        <is>
          <t>Not started</t>
        </is>
      </c>
      <c r="E23" s="6" t="inlineStr">
        <is>
          <t>Neko says token is in; run test</t>
        </is>
      </c>
      <c r="F23" s="6" t="inlineStr"/>
      <c r="G23" s="6" t="inlineStr">
        <is>
          <t>Claude</t>
        </is>
      </c>
      <c r="H23" s="6" t="inlineStr">
        <is>
          <t>Oct 16</t>
        </is>
      </c>
    </row>
    <row r="24">
      <c r="A24" s="6" t="inlineStr">
        <is>
          <t>S11</t>
        </is>
      </c>
      <c r="B24" s="6" t="inlineStr">
        <is>
          <t>Sleep Bible</t>
        </is>
      </c>
      <c r="C24" s="6" t="inlineStr">
        <is>
          <t>Genesis sleep reading: render started 8:50 AM Oct 16 (sleep-render, tag sleep-genesis-chapters)</t>
        </is>
      </c>
      <c r="D24" s="6" t="inlineStr">
        <is>
          <t>In progress</t>
        </is>
      </c>
      <c r="E24" s="6" t="inlineStr">
        <is>
          <t>Run sleep-master (needs title frame), sleep-qa, sleep-glitch, write youtube.json</t>
        </is>
      </c>
      <c r="F24" s="6" t="inlineStr">
        <is>
          <t>Upload blocked on YT secrets</t>
        </is>
      </c>
      <c r="G24" s="6" t="inlineStr">
        <is>
          <t>Claude</t>
        </is>
      </c>
      <c r="H24" s="6" t="inlineStr">
        <is>
          <t>Oct 16</t>
        </is>
      </c>
    </row>
    <row r="25">
      <c r="A25" s="6" t="inlineStr">
        <is>
          <t>M5</t>
        </is>
      </c>
      <c r="B25" s="6" t="inlineStr">
        <is>
          <t>Morning Word</t>
        </is>
      </c>
      <c r="C25" s="6" t="inlineStr">
        <is>
          <t>Day 4 (1 Peter 5:7) built, Buffer-delivered Oct 16 5 AM; Neko said 'good, not the best'</t>
        </is>
      </c>
      <c r="D25" s="6" t="inlineStr">
        <is>
          <t>Done</t>
        </is>
      </c>
      <c r="E25" s="6" t="inlineStr">
        <is>
          <t>Rebuild only if Neko asks</t>
        </is>
      </c>
      <c r="F25" s="6" t="inlineStr"/>
      <c r="G25" s="6" t="inlineStr">
        <is>
          <t>Claude</t>
        </is>
      </c>
      <c r="H25" s="6" t="inlineStr">
        <is>
          <t>Oct 16</t>
        </is>
      </c>
    </row>
    <row r="26">
      <c r="A26" s="6" t="inlineStr">
        <is>
          <t>M6</t>
        </is>
      </c>
      <c r="B26" s="6" t="inlineStr">
        <is>
          <t>Morning Word</t>
        </is>
      </c>
      <c r="C26" s="6" t="inlineStr">
        <is>
          <t>Week 2 Days 2-7 and Oct 17+ not built</t>
        </is>
      </c>
      <c r="D26" s="6" t="inlineStr">
        <is>
          <t>Blocked</t>
        </is>
      </c>
      <c r="E26" s="6" t="inlineStr">
        <is>
          <t>Build after HeyGen voice change</t>
        </is>
      </c>
      <c r="F26" s="6" t="inlineStr">
        <is>
          <t>Neko: HeyGen voice change</t>
        </is>
      </c>
      <c r="G26" s="6" t="inlineStr">
        <is>
          <t>Neko</t>
        </is>
      </c>
      <c r="H26" s="6" t="inlineStr">
        <is>
          <t>Oct 16</t>
        </is>
      </c>
    </row>
    <row r="27">
      <c r="A27" s="6" t="inlineStr">
        <is>
          <t>M7</t>
        </is>
      </c>
      <c r="B27" s="6" t="inlineStr">
        <is>
          <t>Morning Word</t>
        </is>
      </c>
      <c r="C27" s="6" t="inlineStr">
        <is>
          <t>Free pipeline: Chatterbox voice + LiveTalk face on Kaggle (voice and face tests passed Oct 15)</t>
        </is>
      </c>
      <c r="D27" s="6" t="inlineStr">
        <is>
          <t>In progress</t>
        </is>
      </c>
      <c r="E27" s="6" t="inlineStr">
        <is>
          <t>60-sec real-narration test; brightness drift fix; Kaggle-&gt;GitHub handoff test</t>
        </is>
      </c>
      <c r="F27" s="6" t="inlineStr">
        <is>
          <t>Kaggle GITHUB_TOKEN secret (Neko says in); ElevenLabs credits at zero; intro/outro music missing</t>
        </is>
      </c>
      <c r="G27" s="6" t="inlineStr">
        <is>
          <t>Claude</t>
        </is>
      </c>
      <c r="H27" s="6" t="inlineStr">
        <is>
          <t>Oct 16</t>
        </is>
      </c>
    </row>
    <row r="28">
      <c r="A28" s="6" t="inlineStr">
        <is>
          <t>M8</t>
        </is>
      </c>
      <c r="B28" s="6" t="inlineStr">
        <is>
          <t>Morning Word</t>
        </is>
      </c>
      <c r="C28" s="6" t="inlineStr">
        <is>
          <t>Alternative-workflow thread turns 77-184 unread (hit read limit)</t>
        </is>
      </c>
      <c r="D28" s="6" t="inlineStr">
        <is>
          <t>Not started</t>
        </is>
      </c>
      <c r="E28" s="6" t="inlineStr">
        <is>
          <t>Re-read after limit resets, update M7</t>
        </is>
      </c>
      <c r="F28" s="6" t="inlineStr">
        <is>
          <t>Hourly chat-read limit</t>
        </is>
      </c>
      <c r="G28" s="6" t="inlineStr">
        <is>
          <t>Claude</t>
        </is>
      </c>
      <c r="H28" s="6" t="inlineStr">
        <is>
          <t>Oct 16</t>
        </is>
      </c>
    </row>
    <row r="29">
      <c r="A29" s="6" t="inlineStr">
        <is>
          <t>M9</t>
        </is>
      </c>
      <c r="B29" s="6" t="inlineStr">
        <is>
          <t>Morning Word</t>
        </is>
      </c>
      <c r="C29" s="6" t="inlineStr">
        <is>
          <t>Derek only thread turns 117-361 unread</t>
        </is>
      </c>
      <c r="D29" s="6" t="inlineStr">
        <is>
          <t>Not started</t>
        </is>
      </c>
      <c r="E29" s="6" t="inlineStr">
        <is>
          <t>Re-read after limit resets, reconcile Week 2 status</t>
        </is>
      </c>
      <c r="F29" s="6" t="inlineStr">
        <is>
          <t>Hourly chat-read limit</t>
        </is>
      </c>
      <c r="G29" s="6" t="inlineStr">
        <is>
          <t>Claude</t>
        </is>
      </c>
      <c r="H29" s="6" t="inlineStr">
        <is>
          <t>Oct 16</t>
        </is>
      </c>
    </row>
    <row r="30">
      <c r="A30" s="6" t="inlineStr">
        <is>
          <t>E1</t>
        </is>
      </c>
      <c r="B30" s="6" t="inlineStr">
        <is>
          <t>Etsy</t>
        </is>
      </c>
      <c r="C30" s="6" t="inlineStr">
        <is>
          <t>Etsy connector trial ends Oct 17; 4 empty drafts; journals/planners still in Desk Calendars</t>
        </is>
      </c>
      <c r="D30" s="6" t="inlineStr">
        <is>
          <t>Not started</t>
        </is>
      </c>
      <c r="E30" s="6" t="inlineStr">
        <is>
          <t>Neko decides on trial; Claude tidies drafts and categories</t>
        </is>
      </c>
      <c r="F30" s="6" t="inlineStr">
        <is>
          <t>Neko: trial decision</t>
        </is>
      </c>
      <c r="G30" s="6" t="inlineStr">
        <is>
          <t>Neko</t>
        </is>
      </c>
      <c r="H30" s="6" t="inlineStr">
        <is>
          <t>Oct 16</t>
        </is>
      </c>
    </row>
    <row r="31">
      <c r="A31" s="6" t="inlineStr">
        <is>
          <t>E2</t>
        </is>
      </c>
      <c r="B31" s="6" t="inlineStr">
        <is>
          <t>Etsy</t>
        </is>
      </c>
      <c r="C31" s="6" t="inlineStr">
        <is>
          <t>Facebook groups: Key live in Christian Fiction Fans; 4 posts in admin review; Married Twice unverified; Say Something About My Father blocked by safety check</t>
        </is>
      </c>
      <c r="D31" s="6" t="inlineStr">
        <is>
          <t>In progress</t>
        </is>
      </c>
      <c r="E31" s="6" t="inlineStr">
        <is>
          <t>Verify which posts went live; no new posting until Facebook allowed</t>
        </is>
      </c>
      <c r="F31" s="6" t="inlineStr">
        <is>
          <t>Facebook site permission</t>
        </is>
      </c>
      <c r="G31" s="6" t="inlineStr">
        <is>
          <t>Claude</t>
        </is>
      </c>
      <c r="H31" s="6" t="inlineStr">
        <is>
          <t>Oct 16</t>
        </is>
      </c>
    </row>
    <row r="32">
      <c r="A32" s="6" t="inlineStr">
        <is>
          <t>E3</t>
        </is>
      </c>
      <c r="B32" s="6" t="inlineStr">
        <is>
          <t>Etsy</t>
        </is>
      </c>
      <c r="C32" s="6" t="inlineStr">
        <is>
          <t>Six books still lack PDFs; Christian Anxiety Workbook has no PDF/description/tags</t>
        </is>
      </c>
      <c r="D32" s="6" t="inlineStr">
        <is>
          <t>Not started</t>
        </is>
      </c>
      <c r="E32" s="6" t="inlineStr">
        <is>
          <t>Neko supplies PDFs</t>
        </is>
      </c>
      <c r="F32" s="6" t="inlineStr">
        <is>
          <t>Neko: PDFs</t>
        </is>
      </c>
      <c r="G32" s="6" t="inlineStr">
        <is>
          <t>Neko</t>
        </is>
      </c>
      <c r="H32" s="6" t="inlineStr">
        <is>
          <t>Oct 16</t>
        </is>
      </c>
    </row>
    <row r="33">
      <c r="A33" s="6" t="inlineStr">
        <is>
          <t>B1</t>
        </is>
      </c>
      <c r="B33" s="6" t="inlineStr">
        <is>
          <t>Books</t>
        </is>
      </c>
      <c r="C33" s="6" t="inlineStr">
        <is>
          <t>Mother-in-law book 'The Empty Chair': ch 1-5 delivered, 6-13 to write</t>
        </is>
      </c>
      <c r="D33" s="6" t="inlineStr">
        <is>
          <t>In progress</t>
        </is>
      </c>
      <c r="E33" s="6" t="inlineStr">
        <is>
          <t>Neko reads/corrects ch 2-5, says 'next' for ch 6</t>
        </is>
      </c>
      <c r="F33" s="6" t="inlineStr">
        <is>
          <t>Neko review; Norman's father detail; check overlap with Mama's Boys</t>
        </is>
      </c>
      <c r="G33" s="6" t="inlineStr">
        <is>
          <t>Neko</t>
        </is>
      </c>
      <c r="H33" s="6" t="inlineStr">
        <is>
          <t>Oct 16</t>
        </is>
      </c>
    </row>
    <row r="34">
      <c r="A34" s="6" t="inlineStr">
        <is>
          <t>B2</t>
        </is>
      </c>
      <c r="B34" s="6" t="inlineStr">
        <is>
          <t>Books</t>
        </is>
      </c>
      <c r="C34" s="6" t="inlineStr">
        <is>
          <t>Horrorcore verse flipped to testimony, Suno kit delivered</t>
        </is>
      </c>
      <c r="D34" s="6" t="inlineStr">
        <is>
          <t>Done</t>
        </is>
      </c>
      <c r="E34" s="6" t="inlineStr">
        <is>
          <t>Neko runs kit in Suno, reports; BPM 92 if too jazzy</t>
        </is>
      </c>
      <c r="F34" s="6" t="inlineStr">
        <is>
          <t>Neko in Suno</t>
        </is>
      </c>
      <c r="G34" s="6" t="inlineStr">
        <is>
          <t>Neko</t>
        </is>
      </c>
      <c r="H34" s="6" t="inlineStr">
        <is>
          <t>Oct 16</t>
        </is>
      </c>
    </row>
    <row r="35">
      <c r="A35" s="6" t="inlineStr">
        <is>
          <t>T1</t>
        </is>
      </c>
      <c r="B35" s="6" t="inlineStr">
        <is>
          <t>Tech</t>
        </is>
      </c>
      <c r="C35" s="6" t="inlineStr">
        <is>
          <t>Self-host laptop: new laptop (i5-7300U, 16GB) chosen; Docker not installed; Hermes free-model setup not started</t>
        </is>
      </c>
      <c r="D35" s="6" t="inlineStr">
        <is>
          <t>Blocked</t>
        </is>
      </c>
      <c r="E35" s="6" t="inlineStr">
        <is>
          <t>Set up Hermes after $10 OpenRouter decision</t>
        </is>
      </c>
      <c r="F35" s="6" t="inlineStr">
        <is>
          <t>Neko: OpenRouter free vs $10; be at laptop</t>
        </is>
      </c>
      <c r="G35" s="6" t="inlineStr">
        <is>
          <t>Neko</t>
        </is>
      </c>
      <c r="H35" s="6" t="inlineStr">
        <is>
          <t>Oct 16</t>
        </is>
      </c>
    </row>
    <row r="36">
      <c r="A36" s="6" t="inlineStr">
        <is>
          <t>T2</t>
        </is>
      </c>
      <c r="B36" s="6" t="inlineStr">
        <is>
          <t>Tech</t>
        </is>
      </c>
      <c r="C36" s="6" t="inlineStr">
        <is>
          <t>Replace trial connectors with free tools (Orshot, Buffer, TinyFish, Descript, ElevenLabs); Neko said 'different route' Oct 15</t>
        </is>
      </c>
      <c r="D36" s="6" t="inlineStr">
        <is>
          <t>On hold</t>
        </is>
      </c>
      <c r="E36" s="6" t="inlineStr">
        <is>
          <t>Ask Neko the new route</t>
        </is>
      </c>
      <c r="F36" s="6" t="inlineStr">
        <is>
          <t>Neko</t>
        </is>
      </c>
      <c r="G36" s="6" t="inlineStr">
        <is>
          <t>Neko</t>
        </is>
      </c>
      <c r="H36" s="6" t="inlineStr">
        <is>
          <t>Oct 16</t>
        </is>
      </c>
    </row>
    <row r="37">
      <c r="A37" s="6" t="inlineStr">
        <is>
          <t>R1</t>
        </is>
      </c>
      <c r="B37" s="6" t="inlineStr">
        <is>
          <t>Resume service</t>
        </is>
      </c>
      <c r="C37" s="6" t="inlineStr">
        <is>
          <t>Aviation resume service: Wix page live ($49), card made, nothing posted, no sales; Neko doubts niche</t>
        </is>
      </c>
      <c r="D37" s="6" t="inlineStr">
        <is>
          <t>On hold</t>
        </is>
      </c>
      <c r="E37" s="6" t="inlineStr">
        <is>
          <t>Neko decides: pivot or drop</t>
        </is>
      </c>
      <c r="F37" s="6" t="inlineStr">
        <is>
          <t>Neko: payment handles, logins, direction</t>
        </is>
      </c>
      <c r="G37" s="6" t="inlineStr">
        <is>
          <t>Neko</t>
        </is>
      </c>
      <c r="H37" s="6" t="inlineStr">
        <is>
          <t>Oct 16</t>
        </is>
      </c>
    </row>
    <row r="38">
      <c r="A38" s="6" t="inlineStr">
        <is>
          <t>X1</t>
        </is>
      </c>
      <c r="B38" s="6" t="inlineStr">
        <is>
          <t>Spending</t>
        </is>
      </c>
      <c r="C38" s="6" t="inlineStr">
        <is>
          <t>Promo credits for John/Proverbs (~210 Flow credits each) - ask first; free path instead</t>
        </is>
      </c>
      <c r="D38" s="6" t="inlineStr">
        <is>
          <t>On hold</t>
        </is>
      </c>
      <c r="E38" s="6" t="inlineStr">
        <is>
          <t>Use free path or get yes</t>
        </is>
      </c>
      <c r="F38" s="6" t="inlineStr">
        <is>
          <t>Neko: credit approval</t>
        </is>
      </c>
      <c r="G38" s="6" t="inlineStr">
        <is>
          <t>Neko</t>
        </is>
      </c>
      <c r="H38" s="6" t="inlineStr">
        <is>
          <t>Oct 16</t>
        </is>
      </c>
    </row>
    <row r="39">
      <c r="A39" s="6" t="inlineStr">
        <is>
          <t>X2</t>
        </is>
      </c>
      <c r="B39" s="6" t="inlineStr">
        <is>
          <t>Music</t>
        </is>
      </c>
      <c r="C39" s="6" t="inlineStr">
        <is>
          <t>Psalms 82-150 glitch fix: closed by Neko ('leave it')</t>
        </is>
      </c>
      <c r="D39" s="6" t="inlineStr">
        <is>
          <t>Done</t>
        </is>
      </c>
      <c r="E39" s="6" t="inlineStr">
        <is>
          <t>None</t>
        </is>
      </c>
      <c r="F39" s="6" t="inlineStr"/>
      <c r="G39" s="6" t="inlineStr">
        <is>
          <t>Neko</t>
        </is>
      </c>
      <c r="H39" s="6" t="inlineStr">
        <is>
          <t>Oct 16</t>
        </is>
      </c>
    </row>
  </sheetData>
  <autoFilter ref="A1:H23"/>
  <conditionalFormatting sqref="D2:D200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  <cfRule type="cellIs" priority="4" operator="equal" dxfId="3">
      <formula>"On hold"</formula>
    </cfRule>
    <cfRule type="cellIs" priority="5" operator="equal" dxfId="4">
      <formula>"Not started"</formula>
    </cfRule>
  </conditionalFormatting>
  <dataValidations count="1">
    <dataValidation sqref="D2:D200" showDropDown="0" showInputMessage="0" showErrorMessage="0" allowBlank="0" type="list">
      <formula1>"Not started,In progress,Blocked,On hold,Done"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" t="inlineStr">
        <is>
          <t>Rule</t>
        </is>
      </c>
      <c r="B1" s="2" t="inlineStr">
        <is>
          <t>Detail</t>
        </is>
      </c>
    </row>
    <row r="2">
      <c r="A2" s="7" t="inlineStr">
        <is>
          <t>Promo links</t>
        </is>
      </c>
      <c r="B2" s="7" t="inlineStr">
        <is>
          <t>Every sleep-Bible video and every promo for any book or channel carries the Kingdom Impact Shop link plus 3-4 relevant book links in the description. Set by Neko Oct 16, 2026.</t>
        </is>
      </c>
    </row>
    <row r="3">
      <c r="A3" s="7" t="inlineStr">
        <is>
          <t>Scripture</t>
        </is>
      </c>
      <c r="B3" s="7" t="inlineStr">
        <is>
          <t>KJV only. Do not announce it.</t>
        </is>
      </c>
    </row>
    <row r="4">
      <c r="A4" s="7" t="inlineStr">
        <is>
          <t>Derrick</t>
        </is>
      </c>
      <c r="B4" s="7" t="inlineStr">
        <is>
          <t>No 'tomorrow' promises. Never tag people in posts. Nothing posts without Neko's yes on that exact file.</t>
        </is>
      </c>
    </row>
    <row r="5">
      <c r="A5" s="7" t="inlineStr">
        <is>
          <t>Money</t>
        </is>
      </c>
      <c r="B5" s="7" t="inlineStr">
        <is>
          <t>Ask before spending any of his money or credits. Prefer free options (Gemini Pro plan).</t>
        </is>
      </c>
    </row>
    <row r="6">
      <c r="A6" s="7" t="inlineStr">
        <is>
          <t>Asleep work</t>
        </is>
      </c>
      <c r="B6" s="7" t="inlineStr">
        <is>
          <t>When Neko sleeps: work through the last threads, do the work, put it in overnight/ in the repo. No look-at-this asks.</t>
        </is>
      </c>
    </row>
    <row r="7">
      <c r="A7" s="7" t="inlineStr">
        <is>
          <t>Secrets</t>
        </is>
      </c>
      <c r="B7" s="7" t="inlineStr">
        <is>
          <t>Passwords and tokens never in chat.</t>
        </is>
      </c>
    </row>
    <row r="8">
      <c r="A8" s="7" t="inlineStr">
        <is>
          <t>Update habit</t>
        </is>
      </c>
      <c r="B8" s="7" t="inlineStr">
        <is>
          <t>After every work session, update Status, Next step and Updated on this sheet before replying.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2026-10-16T12:44:48Z</dcterms:created>
  <dcterms:modified xmlns:dcterms="http://purl.org/dc/terms/" xmlns:xsi="http://www.w3.org/2001/XMLSchema-instance" xsi:type="dcterms:W3CDTF">2026-10-16T12:51:09Z</dcterms:modified>
</cp:coreProperties>
</file>