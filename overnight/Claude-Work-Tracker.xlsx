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Where we are" sheetId="1" state="visible" r:id="rId1"/>
    <sheet xmlns:r="http://schemas.openxmlformats.org/officeDocument/2006/relationships" name="Archive" sheetId="2" state="visible" r:id="rId2"/>
    <sheet xmlns:r="http://schemas.openxmlformats.org/officeDocument/2006/relationships" name="Tasks" sheetId="3" state="visible" r:id="rId3"/>
    <sheet xmlns:r="http://schemas.openxmlformats.org/officeDocument/2006/relationships" name="Standing rules" sheetId="4" state="visible" r:id="rId4"/>
    <sheet xmlns:r="http://schemas.openxmlformats.org/officeDocument/2006/relationships" name="How it was done" sheetId="5" state="visible" r:id="rId5"/>
  </sheets>
  <definedNames>
    <definedName name="_xlnm._FilterDatabase" localSheetId="2" hidden="1">'Tasks'!$A$1:$H$23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color rgb="00FFFFFF"/>
    </font>
    <font>
      <b val="1"/>
      <sz val="16"/>
    </font>
    <font>
      <b val="1"/>
    </font>
  </fonts>
  <fills count="3">
    <fill>
      <patternFill/>
    </fill>
    <fill>
      <patternFill patternType="gray125"/>
    </fill>
    <fill>
      <patternFill patternType="solid">
        <fgColor rgb="001F3A5F"/>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8">
    <xf numFmtId="0" fontId="0" fillId="0" borderId="0" pivotButton="0" quotePrefix="0" xfId="0"/>
    <xf numFmtId="0" fontId="2" fillId="0" borderId="0" pivotButton="0" quotePrefix="0" xfId="0"/>
    <xf numFmtId="0" fontId="1" fillId="2" borderId="0" pivotButton="0" quotePrefix="0" xfId="0"/>
    <xf numFmtId="0" fontId="3" fillId="0" borderId="0" pivotButton="0" quotePrefix="0" xfId="0"/>
    <xf numFmtId="9" fontId="0" fillId="0" borderId="0" pivotButton="0" quotePrefix="0" xfId="0"/>
    <xf numFmtId="0" fontId="1" fillId="2" borderId="0" applyAlignment="1" pivotButton="0" quotePrefix="0" xfId="0">
      <alignment vertical="center" wrapText="1"/>
    </xf>
    <xf numFmtId="0" fontId="0" fillId="0" borderId="1" applyAlignment="1" pivotButton="0" quotePrefix="0" xfId="0">
      <alignment vertical="top" wrapText="1"/>
    </xf>
    <xf numFmtId="0" fontId="0" fillId="0" borderId="0" applyAlignment="1" pivotButton="0" quotePrefix="0" xfId="0">
      <alignment vertical="top" wrapText="1"/>
    </xf>
  </cellXfs>
  <cellStyles count="1">
    <cellStyle name="Normal" xfId="0" builtinId="0" hidden="0"/>
  </cellStyles>
  <dxfs count="5">
    <dxf>
      <fill>
        <patternFill patternType="solid">
          <fgColor rgb="00C6EFCE"/>
          <bgColor rgb="00C6EFCE"/>
        </patternFill>
      </fill>
    </dxf>
    <dxf>
      <fill>
        <patternFill patternType="solid">
          <fgColor rgb="00FFC7CE"/>
          <bgColor rgb="00FFC7CE"/>
        </patternFill>
      </fill>
    </dxf>
    <dxf>
      <fill>
        <patternFill patternType="solid">
          <fgColor rgb="00FFEB9C"/>
          <bgColor rgb="00FFEB9C"/>
        </patternFill>
      </fill>
    </dxf>
    <dxf>
      <fill>
        <patternFill patternType="solid">
          <fgColor rgb="00D9D9D9"/>
          <bgColor rgb="00D9D9D9"/>
        </patternFill>
      </fill>
    </dxf>
    <dxf>
      <fill>
        <patternFill patternType="solid">
          <fgColor rgb="00FFFFFF"/>
          <bgColor rgb="00FFFF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5"/>
  <cols>
    <col width="34" customWidth="1" min="1" max="1"/>
    <col width="22" customWidth="1" min="2" max="2"/>
  </cols>
  <sheetData>
    <row r="1">
      <c r="A1" s="1" t="inlineStr">
        <is>
          <t>Where we are</t>
        </is>
      </c>
    </row>
    <row r="2">
      <c r="A2" t="inlineStr">
        <is>
          <t>Last updated Oct 17 3:10 AM ET</t>
        </is>
      </c>
      <c r="B2" t="inlineStr">
        <is>
          <t>Oct 18 4:55 AM ET</t>
        </is>
      </c>
    </row>
    <row r="3">
      <c r="A3" s="2" t="inlineStr">
        <is>
          <t>Status</t>
        </is>
      </c>
      <c r="B3" s="2" t="inlineStr">
        <is>
          <t>Count</t>
        </is>
      </c>
    </row>
    <row r="4">
      <c r="A4" t="inlineStr">
        <is>
          <t>Done</t>
        </is>
      </c>
      <c r="B4">
        <f>COUNTIF(Tasks!D2:D200,"Done")</f>
        <v/>
      </c>
    </row>
    <row r="5">
      <c r="A5" t="inlineStr">
        <is>
          <t>In progress</t>
        </is>
      </c>
      <c r="B5">
        <f>COUNTIF(Tasks!D2:D200,"In progress")</f>
        <v/>
      </c>
    </row>
    <row r="6">
      <c r="A6" t="inlineStr">
        <is>
          <t>Blocked</t>
        </is>
      </c>
      <c r="B6">
        <f>COUNTIF(Tasks!D2:D200,"Blocked")</f>
        <v/>
      </c>
    </row>
    <row r="7">
      <c r="A7" t="inlineStr">
        <is>
          <t>On hold</t>
        </is>
      </c>
      <c r="B7">
        <f>COUNTIF(Tasks!D2:D200,"On hold")</f>
        <v/>
      </c>
    </row>
    <row r="8">
      <c r="A8" t="inlineStr">
        <is>
          <t>Not started</t>
        </is>
      </c>
      <c r="B8">
        <f>COUNTIF(Tasks!D2:D200,"Not started")</f>
        <v/>
      </c>
    </row>
    <row r="9">
      <c r="A9" s="3" t="inlineStr">
        <is>
          <t>Total</t>
        </is>
      </c>
      <c r="B9" s="3">
        <f>SUM(B4:B8)</f>
        <v/>
      </c>
    </row>
    <row r="11">
      <c r="A11" t="inlineStr">
        <is>
          <t>% done</t>
        </is>
      </c>
      <c r="B11" s="4">
        <f>IF(B9=0,0,B4/B9)</f>
        <v/>
      </c>
    </row>
    <row r="13">
      <c r="A13" s="3" t="inlineStr">
        <is>
          <t>Next up (Blocked and Not started, top of list)</t>
        </is>
      </c>
    </row>
    <row r="14">
      <c r="A14" t="inlineStr">
        <is>
          <t>Open the Tasks tab and filter Status. Blocked items name exactly what is missing.</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I1"/>
  <sheetViews>
    <sheetView workbookViewId="0">
      <selection activeCell="A1" sqref="A1"/>
    </sheetView>
  </sheetViews>
  <sheetFormatPr baseColWidth="8" defaultRowHeight="15"/>
  <cols>
    <col width="8" customWidth="1" min="1" max="1"/>
    <col width="16" customWidth="1" min="2" max="2"/>
    <col width="70" customWidth="1" min="3" max="3"/>
    <col width="12" customWidth="1" min="4" max="4"/>
    <col width="40" customWidth="1" min="5" max="5"/>
    <col width="30" customWidth="1" min="6" max="6"/>
    <col width="10" customWidth="1" min="7" max="7"/>
    <col width="20" customWidth="1" min="8" max="8"/>
    <col width="20" customWidth="1" min="9" max="9"/>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c r="I1" s="5" t="inlineStr">
        <is>
          <t>Archived</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74"/>
  <sheetViews>
    <sheetView workbookViewId="0">
      <pane ySplit="1" topLeftCell="A2" activePane="bottomLeft" state="frozen"/>
      <selection pane="bottomLeft" activeCell="A1" sqref="A1"/>
    </sheetView>
  </sheetViews>
  <sheetFormatPr baseColWidth="8" defaultRowHeight="15"/>
  <cols>
    <col width="6" customWidth="1" min="1" max="1"/>
    <col width="16" customWidth="1" min="2" max="2"/>
    <col width="60" customWidth="1" min="3" max="3"/>
    <col width="13" customWidth="1" min="4" max="4"/>
    <col width="48" customWidth="1" min="5" max="5"/>
    <col width="48" customWidth="1" min="6" max="6"/>
    <col width="9" customWidth="1" min="7" max="7"/>
    <col width="20" customWidth="1" min="8" max="8"/>
  </cols>
  <sheetData>
    <row r="1">
      <c r="A1" s="5" t="inlineStr">
        <is>
          <t>ID</t>
        </is>
      </c>
      <c r="B1" s="5" t="inlineStr">
        <is>
          <t>Project</t>
        </is>
      </c>
      <c r="C1" s="5" t="inlineStr">
        <is>
          <t>Task</t>
        </is>
      </c>
      <c r="D1" s="5" t="inlineStr">
        <is>
          <t>Status</t>
        </is>
      </c>
      <c r="E1" s="5" t="inlineStr">
        <is>
          <t>Next step</t>
        </is>
      </c>
      <c r="F1" s="5" t="inlineStr">
        <is>
          <t>Blocked by / waiting on</t>
        </is>
      </c>
      <c r="G1" s="5" t="inlineStr">
        <is>
          <t>Owner</t>
        </is>
      </c>
      <c r="H1" s="5" t="inlineStr">
        <is>
          <t>Updated</t>
        </is>
      </c>
    </row>
    <row r="2">
      <c r="A2" s="6" t="inlineStr">
        <is>
          <t>S1</t>
        </is>
      </c>
      <c r="B2" s="6" t="inlineStr">
        <is>
          <t>Sleep Bible</t>
        </is>
      </c>
      <c r="C2" s="6" t="inlineStr">
        <is>
          <t>Psalms video live on Blessed Prayers YouTube + shop links in description</t>
        </is>
      </c>
      <c r="D2" s="6" t="inlineStr">
        <is>
          <t>Done</t>
        </is>
      </c>
      <c r="E2" s="6" t="inlineStr">
        <is>
          <t>None</t>
        </is>
      </c>
      <c r="F2" s="6" t="inlineStr"/>
      <c r="G2" s="6" t="inlineStr">
        <is>
          <t>Claude</t>
        </is>
      </c>
      <c r="H2" s="6" t="inlineStr">
        <is>
          <t>Oct 16</t>
        </is>
      </c>
    </row>
    <row r="3">
      <c r="A3" s="6" t="inlineStr">
        <is>
          <t>S2</t>
        </is>
      </c>
      <c r="B3" s="6" t="inlineStr">
        <is>
          <t>Sleep Bible</t>
        </is>
      </c>
      <c r="C3" s="6" t="inlineStr">
        <is>
          <t>John video rendered, mastered, checked; glitch scan clean (speed, pauses, clicks, word match), nothing to re-render</t>
        </is>
      </c>
      <c r="D3" s="6" t="inlineStr">
        <is>
          <t>Done</t>
        </is>
      </c>
      <c r="E3" s="6" t="inlineStr">
        <is>
          <t>Upload is tracked in S6; promo in S7</t>
        </is>
      </c>
      <c r="F3" s="6" t="inlineStr"/>
      <c r="G3" s="6" t="inlineStr">
        <is>
          <t>Claude</t>
        </is>
      </c>
      <c r="H3" s="6" t="inlineStr">
        <is>
          <t>Oct 17 12:03 AM ET</t>
        </is>
      </c>
    </row>
    <row r="4">
      <c r="A4" s="6" t="inlineStr">
        <is>
          <t>S3</t>
        </is>
      </c>
      <c r="B4" s="6" t="inlineStr">
        <is>
          <t>Sleep Bible</t>
        </is>
      </c>
      <c r="C4" s="6" t="inlineStr">
        <is>
          <t>Proverbs video rendered, mastered, checked; glitch scan clean (speed, pauses, clicks, word match), nothing to re-render</t>
        </is>
      </c>
      <c r="D4" s="6" t="inlineStr">
        <is>
          <t>Done</t>
        </is>
      </c>
      <c r="E4" s="6" t="inlineStr">
        <is>
          <t>Upload is tracked in S6; promo in S7</t>
        </is>
      </c>
      <c r="F4" s="6" t="inlineStr"/>
      <c r="G4" s="6" t="inlineStr">
        <is>
          <t>Claude</t>
        </is>
      </c>
      <c r="H4" s="6" t="inlineStr">
        <is>
          <t>Oct 17 12:03 AM ET</t>
        </is>
      </c>
    </row>
    <row r="5">
      <c r="A5" s="6" t="inlineStr">
        <is>
          <t>S4</t>
        </is>
      </c>
      <c r="B5" s="6" t="inlineStr">
        <is>
          <t>Sleep Bible</t>
        </is>
      </c>
      <c r="C5" s="6" t="inlineStr">
        <is>
          <t>John and Proverbs thumbnails (modest woman on beach, approved)</t>
        </is>
      </c>
      <c r="D5" s="6" t="inlineStr">
        <is>
          <t>Done</t>
        </is>
      </c>
      <c r="E5" s="6" t="inlineStr">
        <is>
          <t>None</t>
        </is>
      </c>
      <c r="F5" s="6" t="inlineStr"/>
      <c r="G5" s="6" t="inlineStr">
        <is>
          <t>Claude</t>
        </is>
      </c>
      <c r="H5" s="6" t="inlineStr">
        <is>
          <t>Oct 16</t>
        </is>
      </c>
    </row>
    <row r="6">
      <c r="A6" s="6" t="inlineStr">
        <is>
          <t>S5</t>
        </is>
      </c>
      <c r="B6" s="6" t="inlineStr">
        <is>
          <t>Sleep Bible</t>
        </is>
      </c>
      <c r="C6" s="6" t="inlineStr">
        <is>
          <t>Shop and book links in John, Proverbs, Psalms descriptions</t>
        </is>
      </c>
      <c r="D6" s="6" t="inlineStr">
        <is>
          <t>Done</t>
        </is>
      </c>
      <c r="E6" s="6" t="inlineStr">
        <is>
          <t>None</t>
        </is>
      </c>
      <c r="F6" s="6" t="inlineStr"/>
      <c r="G6" s="6" t="inlineStr">
        <is>
          <t>Claude</t>
        </is>
      </c>
      <c r="H6" s="6" t="inlineStr">
        <is>
          <t>Oct 16</t>
        </is>
      </c>
    </row>
    <row r="7">
      <c r="A7" s="6" t="inlineStr">
        <is>
          <t>S6</t>
        </is>
      </c>
      <c r="B7" s="6" t="inlineStr">
        <is>
          <t>Sleep Bible</t>
        </is>
      </c>
      <c r="C7" s="6" t="inlineStr">
        <is>
          <t>Upload John and Proverbs to YouTube (private, with thumbnails). Both mp4s are already in laptop Downloads</t>
        </is>
      </c>
      <c r="D7" s="6" t="inlineStr">
        <is>
          <t>On hold</t>
        </is>
      </c>
      <c r="E7" s="6" t="inlineStr">
        <is>
          <t>Neko Oct 17 5:39 PM ET: not rushing. John, Proverbs, Genesis are parked in sleep/READY-TO-UPLOAD (json + thumbnail each; videos in releases). When Neko says keys done: test yt-diag, run youtube-upload x3 (private). Reminder set for Thu Oct 22 (Sleep Bible day)</t>
        </is>
      </c>
      <c r="F7" s="6" t="inlineStr">
        <is>
          <t>Neko: create the 3 keys and store as repo secrets</t>
        </is>
      </c>
      <c r="G7" s="6" t="inlineStr">
        <is>
          <t>Neko</t>
        </is>
      </c>
      <c r="H7" s="6" t="inlineStr">
        <is>
          <t>Oct 17 5:39 PM ET</t>
        </is>
      </c>
    </row>
    <row r="8">
      <c r="A8" s="6" t="inlineStr">
        <is>
          <t>S7</t>
        </is>
      </c>
      <c r="B8" s="6" t="inlineStr">
        <is>
          <t>Sleep Bible</t>
        </is>
      </c>
      <c r="C8" s="6" t="inlineStr">
        <is>
          <t>Derrick promos for John and Proverbs</t>
        </is>
      </c>
      <c r="D8" s="6" t="inlineStr">
        <is>
          <t>In progress</t>
        </is>
      </c>
      <c r="E8" s="6" t="inlineStr">
        <is>
          <t>Both built and sent Oct 18 (Sleep_Promo_John.mp4 1:55, Sleep_Promo_Proverbs.mp4 1:50; -14 LUFS, transcript matches). Build folders in tools/promo-john and tools/promo-proverbs. Nothing posts until Neko says yes on that exact file</t>
        </is>
      </c>
      <c r="F8" s="6" t="inlineStr">
        <is>
          <t>Neko: watch/listen and approve or point at a spot</t>
        </is>
      </c>
      <c r="G8" s="6" t="inlineStr">
        <is>
          <t>Neko</t>
        </is>
      </c>
      <c r="H8" s="6" t="inlineStr">
        <is>
          <t>Oct 18 4:45 AM ET</t>
        </is>
      </c>
    </row>
    <row r="9">
      <c r="A9" s="6" t="inlineStr">
        <is>
          <t>S8</t>
        </is>
      </c>
      <c r="B9" s="6" t="inlineStr">
        <is>
          <t>Sleep Bible</t>
        </is>
      </c>
      <c r="C9" s="6" t="inlineStr">
        <is>
          <t>Genesis sleep reading: voice for all 50 chapters, master built (7.28 h, -18.1 LUFS, no spikes, no gaps over 8 s; release sleep-genesis, file genesis-sleep.mp4), QA clean (no decode errors), glitch scan done (1533 verses, 11 with a pause just over 2 s). youtube.json written, thumbnail done (sleep/kit/thumb_genesis_v3.jpg)</t>
        </is>
      </c>
      <c r="D9" s="6" t="inlineStr">
        <is>
          <t>On hold</t>
        </is>
      </c>
      <c r="E9" s="6" t="inlineStr">
        <is>
          <t>Upload with S6 once keys exist (parked in sleep/READY-TO-UPLOAD/genesis)</t>
        </is>
      </c>
      <c r="F9" s="6" t="inlineStr">
        <is>
          <t>Upload waits on S6 keys (parked)</t>
        </is>
      </c>
      <c r="G9" s="6" t="inlineStr">
        <is>
          <t>Claude</t>
        </is>
      </c>
      <c r="H9" s="6" t="inlineStr">
        <is>
          <t>Oct 17 5:39 PM ET</t>
        </is>
      </c>
    </row>
    <row r="10">
      <c r="A10" s="6" t="inlineStr">
        <is>
          <t>S9</t>
        </is>
      </c>
      <c r="B10" s="6" t="inlineStr">
        <is>
          <t>Sleep Bible</t>
        </is>
      </c>
      <c r="C10" s="6" t="inlineStr">
        <is>
          <t>Pinned comment with shop link on each sleep video</t>
        </is>
      </c>
      <c r="D10" s="6" t="inlineStr">
        <is>
          <t>Not started</t>
        </is>
      </c>
      <c r="E10" s="6" t="inlineStr">
        <is>
          <t>Add once videos are public</t>
        </is>
      </c>
      <c r="F10" s="6" t="inlineStr"/>
      <c r="G10" s="6" t="inlineStr">
        <is>
          <t>Claude</t>
        </is>
      </c>
      <c r="H10" s="6" t="inlineStr">
        <is>
          <t>Oct 16</t>
        </is>
      </c>
    </row>
    <row r="11">
      <c r="A11" s="6" t="inlineStr">
        <is>
          <t>S10</t>
        </is>
      </c>
      <c r="B11" s="6" t="inlineStr">
        <is>
          <t>Sleep Bible</t>
        </is>
      </c>
      <c r="C11" s="6" t="inlineStr">
        <is>
          <t>YouTube cards / end screens pointing to books</t>
        </is>
      </c>
      <c r="D11" s="6" t="inlineStr">
        <is>
          <t>Not started</t>
        </is>
      </c>
      <c r="E11" s="6" t="inlineStr">
        <is>
          <t>Set in Studio video editor</t>
        </is>
      </c>
      <c r="F11" s="6" t="inlineStr"/>
      <c r="G11" s="6" t="inlineStr">
        <is>
          <t>Claude</t>
        </is>
      </c>
      <c r="H11" s="6" t="inlineStr">
        <is>
          <t>Oct 16</t>
        </is>
      </c>
    </row>
    <row r="12">
      <c r="A12" s="6" t="inlineStr">
        <is>
          <t>M1</t>
        </is>
      </c>
      <c r="B12" s="6" t="inlineStr">
        <is>
          <t>Morning Word</t>
        </is>
      </c>
      <c r="C12" s="6" t="inlineStr">
        <is>
          <t>Day 4 (1 Peter 5:7) delivered by Buffer to YouTube, Instagram, TikTok</t>
        </is>
      </c>
      <c r="D12" s="6" t="inlineStr">
        <is>
          <t>Done</t>
        </is>
      </c>
      <c r="E12" s="6" t="inlineStr">
        <is>
          <t>None</t>
        </is>
      </c>
      <c r="F12" s="6" t="inlineStr"/>
      <c r="G12" s="6" t="inlineStr">
        <is>
          <t>Claude</t>
        </is>
      </c>
      <c r="H12" s="6" t="inlineStr">
        <is>
          <t>Oct 16</t>
        </is>
      </c>
    </row>
    <row r="13">
      <c r="A13" s="6" t="inlineStr">
        <is>
          <t>M2</t>
        </is>
      </c>
      <c r="B13" s="6" t="inlineStr">
        <is>
          <t>Morning Word</t>
        </is>
      </c>
      <c r="C13" s="6" t="inlineStr">
        <is>
          <t>Joshua 1:9 image card queued for 9 AM ET</t>
        </is>
      </c>
      <c r="D13" s="6" t="inlineStr">
        <is>
          <t>Done</t>
        </is>
      </c>
      <c r="E13" s="6" t="inlineStr">
        <is>
          <t>Confirm it sent</t>
        </is>
      </c>
      <c r="F13" s="6" t="inlineStr"/>
      <c r="G13" s="6" t="inlineStr">
        <is>
          <t>Claude</t>
        </is>
      </c>
      <c r="H13" s="6" t="inlineStr">
        <is>
          <t>Oct 16</t>
        </is>
      </c>
    </row>
    <row r="14">
      <c r="A14" s="6" t="inlineStr">
        <is>
          <t>M3</t>
        </is>
      </c>
      <c r="B14" s="6" t="inlineStr">
        <is>
          <t>Morning Word</t>
        </is>
      </c>
      <c r="C14" s="6" t="inlineStr">
        <is>
          <t>Derrick voice changed in HeyGen to the ElevenLabs Derrick Hughes clone</t>
        </is>
      </c>
      <c r="D14" s="6" t="inlineStr">
        <is>
          <t>Done</t>
        </is>
      </c>
      <c r="E14" s="6" t="inlineStr">
        <is>
          <t>None. Neko Oct 17 6:10 PM ET: voice changed in HeyGen, sounds good</t>
        </is>
      </c>
      <c r="F14" s="6" t="inlineStr"/>
      <c r="G14" s="6" t="inlineStr">
        <is>
          <t>Neko</t>
        </is>
      </c>
      <c r="H14" s="6" t="inlineStr">
        <is>
          <t>Oct 17 6:10 PM ET</t>
        </is>
      </c>
    </row>
    <row r="15">
      <c r="A15" s="6" t="inlineStr">
        <is>
          <t>M4</t>
        </is>
      </c>
      <c r="B15" s="6" t="inlineStr">
        <is>
          <t>Morning Word</t>
        </is>
      </c>
      <c r="C15" s="6" t="inlineStr">
        <is>
          <t>Derrick Day 5 and Day 6: DROPPED, Neko locked Mon-Fri only (D1); no weekend episodes</t>
        </is>
      </c>
      <c r="D15" s="6" t="inlineStr">
        <is>
          <t>Done</t>
        </is>
      </c>
      <c r="E15" s="6" t="inlineStr">
        <is>
          <t>None</t>
        </is>
      </c>
      <c r="F15" s="6" t="inlineStr">
        <is>
          <t xml:space="preserve"> </t>
        </is>
      </c>
      <c r="G15" s="6" t="inlineStr">
        <is>
          <t>Claude</t>
        </is>
      </c>
      <c r="H15" s="6" t="inlineStr">
        <is>
          <t>Oct 17 4:53 PM ET</t>
        </is>
      </c>
    </row>
    <row r="16">
      <c r="A16" s="6" t="inlineStr">
        <is>
          <t>P1</t>
        </is>
      </c>
      <c r="B16" s="6" t="inlineStr">
        <is>
          <t>Pinterest</t>
        </is>
      </c>
      <c r="C16" s="6" t="inlineStr">
        <is>
          <t>Pin Etsy listings (14 pins live)</t>
        </is>
      </c>
      <c r="D16" s="6" t="inlineStr">
        <is>
          <t>Done</t>
        </is>
      </c>
      <c r="E16" s="6" t="inlineStr">
        <is>
          <t>Books board now 41 pins. Pin remaining listings (audiobooks, teen playbook, apparel to T-Shirts board)</t>
        </is>
      </c>
      <c r="F16" s="6" t="inlineStr"/>
      <c r="G16" s="6" t="inlineStr">
        <is>
          <t>Claude</t>
        </is>
      </c>
      <c r="H16" s="6" t="inlineStr">
        <is>
          <t>Oct 17 1:01 AM ET</t>
        </is>
      </c>
    </row>
    <row r="17">
      <c r="A17" s="6" t="inlineStr">
        <is>
          <t>P2</t>
        </is>
      </c>
      <c r="B17" s="6" t="inlineStr">
        <is>
          <t>Pinterest</t>
        </is>
      </c>
      <c r="C17" s="6" t="inlineStr">
        <is>
          <t>Move 2 pins to the right board (I Wanna Die Different, Built to Carry)</t>
        </is>
      </c>
      <c r="D17" s="6" t="inlineStr">
        <is>
          <t>Done</t>
        </is>
      </c>
      <c r="E17" s="6" t="inlineStr">
        <is>
          <t>Both pins (I Wanna Die Different, Built to Carry) moved to Christian Books &amp; Audiobooks Oct 17, verified</t>
        </is>
      </c>
      <c r="F17" s="6" t="inlineStr"/>
      <c r="G17" s="6" t="inlineStr">
        <is>
          <t>Claude</t>
        </is>
      </c>
      <c r="H17" s="6" t="inlineStr">
        <is>
          <t>Oct 17 1:01 AM ET</t>
        </is>
      </c>
    </row>
    <row r="18">
      <c r="A18" s="6" t="inlineStr">
        <is>
          <t>F1</t>
        </is>
      </c>
      <c r="B18" s="6" t="inlineStr">
        <is>
          <t>Outreach</t>
        </is>
      </c>
      <c r="C18" s="6" t="inlineStr">
        <is>
          <t>Facebook posts on Blessed Prayers and Prince Nico pages</t>
        </is>
      </c>
      <c r="D18" s="6" t="inlineStr">
        <is>
          <t>Not started</t>
        </is>
      </c>
      <c r="E18" s="6" t="inlineStr">
        <is>
          <t>Post where group rules allow Etsy links</t>
        </is>
      </c>
      <c r="F18" s="6" t="inlineStr">
        <is>
          <t>Facebook site permission in browser</t>
        </is>
      </c>
      <c r="G18" s="6" t="inlineStr">
        <is>
          <t>Claude</t>
        </is>
      </c>
      <c r="H18" s="6" t="inlineStr">
        <is>
          <t>Oct 16</t>
        </is>
      </c>
    </row>
    <row r="19">
      <c r="A19" s="6" t="inlineStr">
        <is>
          <t>G1</t>
        </is>
      </c>
      <c r="B19" s="6" t="inlineStr">
        <is>
          <t>Gossip teaching</t>
        </is>
      </c>
      <c r="C19" s="6" t="inlineStr">
        <is>
          <t>7-day scripts written, saved in repo</t>
        </is>
      </c>
      <c r="D19" s="6" t="inlineStr">
        <is>
          <t>Done</t>
        </is>
      </c>
      <c r="E19" s="6" t="inlineStr">
        <is>
          <t>None</t>
        </is>
      </c>
      <c r="F19" s="6" t="inlineStr"/>
      <c r="G19" s="6" t="inlineStr">
        <is>
          <t>Claude</t>
        </is>
      </c>
      <c r="H19" s="6" t="inlineStr">
        <is>
          <t>Oct 16</t>
        </is>
      </c>
    </row>
    <row r="20">
      <c r="A20" s="6" t="inlineStr">
        <is>
          <t>G2</t>
        </is>
      </c>
      <c r="B20" s="6" t="inlineStr">
        <is>
          <t>Gossip teaching</t>
        </is>
      </c>
      <c r="C20" s="6" t="inlineStr">
        <is>
          <t>Rewrite to Neko's corrections</t>
        </is>
      </c>
      <c r="D20" s="6" t="inlineStr">
        <is>
          <t>On hold</t>
        </is>
      </c>
      <c r="E20" s="6" t="inlineStr">
        <is>
          <t>Wait for his review</t>
        </is>
      </c>
      <c r="F20" s="6" t="inlineStr">
        <is>
          <t>Neko must see scripts first</t>
        </is>
      </c>
      <c r="G20" s="6" t="inlineStr">
        <is>
          <t>Neko</t>
        </is>
      </c>
      <c r="H20" s="6" t="inlineStr">
        <is>
          <t>Oct 16</t>
        </is>
      </c>
    </row>
    <row r="21">
      <c r="A21" s="6" t="inlineStr">
        <is>
          <t>H1</t>
        </is>
      </c>
      <c r="B21" s="6" t="inlineStr">
        <is>
          <t>Shopify</t>
        </is>
      </c>
      <c r="C21" s="6" t="inlineStr">
        <is>
          <t>First-pass niche research (night-shift sleep products)</t>
        </is>
      </c>
      <c r="D21" s="6" t="inlineStr">
        <is>
          <t>Done</t>
        </is>
      </c>
      <c r="E21" s="6" t="inlineStr">
        <is>
          <t>None</t>
        </is>
      </c>
      <c r="F21" s="6" t="inlineStr"/>
      <c r="G21" s="6" t="inlineStr">
        <is>
          <t>Claude</t>
        </is>
      </c>
      <c r="H21" s="6" t="inlineStr">
        <is>
          <t>Oct 16</t>
        </is>
      </c>
    </row>
    <row r="22">
      <c r="A22" s="6" t="inlineStr">
        <is>
          <t>H2</t>
        </is>
      </c>
      <c r="B22" s="6" t="inlineStr">
        <is>
          <t>Shopify</t>
        </is>
      </c>
      <c r="C22" s="6" t="inlineStr">
        <is>
          <t>Vet real CJ product pages for the 3 candidates</t>
        </is>
      </c>
      <c r="D22" s="6" t="inlineStr">
        <is>
          <t>Not started</t>
        </is>
      </c>
      <c r="E22" s="6" t="inlineStr">
        <is>
          <t>Open CJ pages and check reviews, shipping</t>
        </is>
      </c>
      <c r="F22" s="6" t="inlineStr"/>
      <c r="G22" s="6" t="inlineStr">
        <is>
          <t>Claude</t>
        </is>
      </c>
      <c r="H22" s="6" t="inlineStr">
        <is>
          <t>Oct 16</t>
        </is>
      </c>
    </row>
    <row r="23">
      <c r="A23" s="6" t="inlineStr">
        <is>
          <t>A1</t>
        </is>
      </c>
      <c r="B23" s="6" t="inlineStr">
        <is>
          <t>Free avatar</t>
        </is>
      </c>
      <c r="C23" s="6" t="inlineStr">
        <is>
          <t>Free-face test (InfiniteTalk or MuseTalk on Kaggle)</t>
        </is>
      </c>
      <c r="D23" s="6" t="inlineStr">
        <is>
          <t>Not started</t>
        </is>
      </c>
      <c r="E23" s="6" t="inlineStr">
        <is>
          <t>Neko says token is in; run test</t>
        </is>
      </c>
      <c r="F23" s="6" t="inlineStr"/>
      <c r="G23" s="6" t="inlineStr">
        <is>
          <t>Claude</t>
        </is>
      </c>
      <c r="H23" s="6" t="inlineStr">
        <is>
          <t>Oct 16</t>
        </is>
      </c>
    </row>
    <row r="24">
      <c r="A24" s="6" t="inlineStr">
        <is>
          <t>S11</t>
        </is>
      </c>
      <c r="B24" s="6" t="inlineStr">
        <is>
          <t>Sleep Bible</t>
        </is>
      </c>
      <c r="C24" s="6" t="inlineStr">
        <is>
          <t>Duplicate of S8 (merged into S8)</t>
        </is>
      </c>
      <c r="D24" s="6" t="inlineStr">
        <is>
          <t>Done</t>
        </is>
      </c>
      <c r="E24" s="6" t="inlineStr">
        <is>
          <t>See S8</t>
        </is>
      </c>
      <c r="F24" s="6" t="n"/>
      <c r="G24" s="6" t="inlineStr">
        <is>
          <t>Claude</t>
        </is>
      </c>
      <c r="H24" s="6" t="inlineStr">
        <is>
          <t>Oct 17 12:02 AM ET</t>
        </is>
      </c>
    </row>
    <row r="25">
      <c r="A25" s="6" t="inlineStr">
        <is>
          <t>M5</t>
        </is>
      </c>
      <c r="B25" s="6" t="inlineStr">
        <is>
          <t>Morning Word</t>
        </is>
      </c>
      <c r="C25" s="6" t="inlineStr">
        <is>
          <t>Day 4 (1 Peter 5:7) built, Buffer-delivered Oct 16 5 AM; Neko said 'good, not the best'</t>
        </is>
      </c>
      <c r="D25" s="6" t="inlineStr">
        <is>
          <t>Done</t>
        </is>
      </c>
      <c r="E25" s="6" t="inlineStr">
        <is>
          <t>Rebuild only if Neko asks</t>
        </is>
      </c>
      <c r="F25" s="6" t="inlineStr"/>
      <c r="G25" s="6" t="inlineStr">
        <is>
          <t>Claude</t>
        </is>
      </c>
      <c r="H25" s="6" t="inlineStr">
        <is>
          <t>Oct 16</t>
        </is>
      </c>
    </row>
    <row r="26">
      <c r="A26" s="6" t="inlineStr">
        <is>
          <t>M6</t>
        </is>
      </c>
      <c r="B26" s="6" t="inlineStr">
        <is>
          <t>Morning Word</t>
        </is>
      </c>
      <c r="C26" s="6" t="inlineStr">
        <is>
          <t>Week 2 (Mon Oct 19 to Fri Oct 23, Mon-Fri only): Jeremiah 29:11 (built), Psalm 91 (new, Neko Oct 17); Isaiah 41:10 archived (M10); rest from top-10 search-demand verses</t>
        </is>
      </c>
      <c r="D26" s="6" t="inlineStr">
        <is>
          <t>In progress</t>
        </is>
      </c>
      <c r="E26" s="6" t="inlineStr">
        <is>
          <t>Psalm 91 episode built and sent Oct 18 (Morning_Word_Psalm_91.mp4, 1:56, navy henley; reference line reworded to "That's the 91st Psalm, verses 1 and 2" because Flow garbled "ninety-one" 3 times). tools/psalm-91 has the build. Next: after his yes, copy to week2/ and schedule 5 AM slot; then next Week 2 verse</t>
        </is>
      </c>
      <c r="F26" s="6" t="inlineStr">
        <is>
          <t>Neko: approve Psalm 91</t>
        </is>
      </c>
      <c r="G26" s="6" t="inlineStr">
        <is>
          <t>Neko</t>
        </is>
      </c>
      <c r="H26" s="6" t="inlineStr">
        <is>
          <t>Oct 18 4:45 AM ET</t>
        </is>
      </c>
    </row>
    <row r="27">
      <c r="A27" s="6" t="inlineStr">
        <is>
          <t>M7</t>
        </is>
      </c>
      <c r="B27" s="6" t="inlineStr">
        <is>
          <t>Morning Word</t>
        </is>
      </c>
      <c r="C27" s="6" t="inlineStr">
        <is>
          <t>Free pipeline: Chatterbox voice + LiveTalk face on Kaggle. Oct 15 tests: voice and face cleared; 11 s lip-sync PASS (aggregate lag under 80 ms, syllable timing loose); histogram match fixes brightness drift (-9% to -0.1%); single long generation beats stitching. Neko said Oct 15 evening the free face looked off, then bought HeyGen Pro, so this is now a backup path</t>
        </is>
      </c>
      <c r="D27" s="6" t="inlineStr">
        <is>
          <t>In progress</t>
        </is>
      </c>
      <c r="E27" s="6" t="inlineStr">
        <is>
          <t>Kaggle-&gt;GitHub push failed on login at test time (Kaggle Secrets empty). Neko says token is now in: rerun handoff test once, then the 30 s assembly test (script fix: no Take a breath / Say it with me)</t>
        </is>
      </c>
      <c r="F27" s="6" t="inlineStr">
        <is>
          <t>Confirm GITHUB_TOKEN secret in Kaggle; intro/outro music not in repo; 60 s+ run untested</t>
        </is>
      </c>
      <c r="G27" s="6" t="inlineStr">
        <is>
          <t>Claude</t>
        </is>
      </c>
      <c r="H27" s="6" t="inlineStr">
        <is>
          <t>Oct 17 12:04 AM ET</t>
        </is>
      </c>
    </row>
    <row r="28">
      <c r="A28" s="6" t="inlineStr">
        <is>
          <t>M8</t>
        </is>
      </c>
      <c r="B28" s="6" t="inlineStr">
        <is>
          <t>Morning Word</t>
        </is>
      </c>
      <c r="C28" s="6" t="inlineStr">
        <is>
          <t>Alternative-workflow thread turns 77-184 unread (hit read limit)</t>
        </is>
      </c>
      <c r="D28" s="6" t="inlineStr">
        <is>
          <t>Not started</t>
        </is>
      </c>
      <c r="E28" s="6" t="inlineStr">
        <is>
          <t>Re-read after limit resets, update M7</t>
        </is>
      </c>
      <c r="F28" s="6" t="inlineStr">
        <is>
          <t>Hourly chat-read limit</t>
        </is>
      </c>
      <c r="G28" s="6" t="inlineStr">
        <is>
          <t>Claude</t>
        </is>
      </c>
      <c r="H28" s="6" t="inlineStr">
        <is>
          <t>Oct 16</t>
        </is>
      </c>
    </row>
    <row r="29">
      <c r="A29" s="6" t="inlineStr">
        <is>
          <t>M9</t>
        </is>
      </c>
      <c r="B29" s="6" t="inlineStr">
        <is>
          <t>Morning Word</t>
        </is>
      </c>
      <c r="C29" s="6" t="inlineStr">
        <is>
          <t>Derek only thread turns 117-361 unread</t>
        </is>
      </c>
      <c r="D29" s="6" t="inlineStr">
        <is>
          <t>Not started</t>
        </is>
      </c>
      <c r="E29" s="6" t="inlineStr">
        <is>
          <t>Re-read after limit resets, reconcile Week 2 status</t>
        </is>
      </c>
      <c r="F29" s="6" t="inlineStr">
        <is>
          <t>Hourly chat-read limit</t>
        </is>
      </c>
      <c r="G29" s="6" t="inlineStr">
        <is>
          <t>Claude</t>
        </is>
      </c>
      <c r="H29" s="6" t="inlineStr">
        <is>
          <t>Oct 16</t>
        </is>
      </c>
    </row>
    <row r="30">
      <c r="A30" s="6" t="inlineStr">
        <is>
          <t>E1</t>
        </is>
      </c>
      <c r="B30" s="6" t="inlineStr">
        <is>
          <t>Etsy</t>
        </is>
      </c>
      <c r="C30" s="6" t="inlineStr">
        <is>
          <t>Etsy connector trial ends Oct 17; 4 empty drafts; journals/planners still in Desk Calendars</t>
        </is>
      </c>
      <c r="D30" s="6" t="inlineStr">
        <is>
          <t>Not started</t>
        </is>
      </c>
      <c r="E30" s="6" t="inlineStr">
        <is>
          <t>Neko decides on trial; Claude tidies drafts and categories</t>
        </is>
      </c>
      <c r="F30" s="6" t="inlineStr">
        <is>
          <t>Neko: trial decision</t>
        </is>
      </c>
      <c r="G30" s="6" t="inlineStr">
        <is>
          <t>Neko</t>
        </is>
      </c>
      <c r="H30" s="6" t="inlineStr">
        <is>
          <t>Oct 16</t>
        </is>
      </c>
    </row>
    <row r="31">
      <c r="A31" s="6" t="inlineStr">
        <is>
          <t>E2</t>
        </is>
      </c>
      <c r="B31" s="6" t="inlineStr">
        <is>
          <t>Etsy</t>
        </is>
      </c>
      <c r="C31" s="6" t="inlineStr">
        <is>
          <t>Facebook groups: Key live in Christian Fiction Fans; 4 posts in admin review; Married Twice unverified; Say Something About My Father blocked by safety check</t>
        </is>
      </c>
      <c r="D31" s="6" t="inlineStr">
        <is>
          <t>In progress</t>
        </is>
      </c>
      <c r="E31" s="6" t="inlineStr">
        <is>
          <t>Verify which posts went live; no new posting until Facebook allowed</t>
        </is>
      </c>
      <c r="F31" s="6" t="inlineStr">
        <is>
          <t>Facebook site permission</t>
        </is>
      </c>
      <c r="G31" s="6" t="inlineStr">
        <is>
          <t>Claude</t>
        </is>
      </c>
      <c r="H31" s="6" t="inlineStr">
        <is>
          <t>Oct 16</t>
        </is>
      </c>
    </row>
    <row r="32">
      <c r="A32" s="6" t="inlineStr">
        <is>
          <t>E3</t>
        </is>
      </c>
      <c r="B32" s="6" t="inlineStr">
        <is>
          <t>Etsy</t>
        </is>
      </c>
      <c r="C32" s="6" t="inlineStr">
        <is>
          <t>Six books still lack PDFs; Christian Anxiety Workbook has no PDF/description/tags</t>
        </is>
      </c>
      <c r="D32" s="6" t="inlineStr">
        <is>
          <t>Not started</t>
        </is>
      </c>
      <c r="E32" s="6" t="inlineStr">
        <is>
          <t>Neko supplies PDFs</t>
        </is>
      </c>
      <c r="F32" s="6" t="inlineStr">
        <is>
          <t>Neko: PDFs</t>
        </is>
      </c>
      <c r="G32" s="6" t="inlineStr">
        <is>
          <t>Neko</t>
        </is>
      </c>
      <c r="H32" s="6" t="inlineStr">
        <is>
          <t>Oct 16</t>
        </is>
      </c>
    </row>
    <row r="33">
      <c r="A33" s="6" t="inlineStr">
        <is>
          <t>B1</t>
        </is>
      </c>
      <c r="B33" s="6" t="inlineStr">
        <is>
          <t>Books</t>
        </is>
      </c>
      <c r="C33" s="6" t="inlineStr">
        <is>
          <t>Mother-in-law book 'The Empty Chair' (locked: names Norman/Asia/Francisca/Sasha, courthouse elopement, first-step ending): ch 1-5 delivered and corrected; ch 6-13 written, sitting in DeepSeek</t>
        </is>
      </c>
      <c r="D33" s="6" t="inlineStr">
        <is>
          <t>In progress</t>
        </is>
      </c>
      <c r="E33" s="6" t="inlineStr">
        <is>
          <t>Neko brings ch 6-13 out of DeepSeek; Claude edits each against the brief and ban list, one at a time. Remind Neko they are done in DeepSeek whenever he asks where we are</t>
        </is>
      </c>
      <c r="F33" s="6" t="inlineStr">
        <is>
          <t>Neko: getting ch 6-13 out of DeepSeek; check overlap with Mama's Boys; Norman's father detail is a placeholder</t>
        </is>
      </c>
      <c r="G33" s="6" t="inlineStr">
        <is>
          <t>Neko</t>
        </is>
      </c>
      <c r="H33" s="6" t="inlineStr">
        <is>
          <t>Oct 17 1:08 AM ET</t>
        </is>
      </c>
    </row>
    <row r="34">
      <c r="A34" s="6" t="inlineStr">
        <is>
          <t>B2</t>
        </is>
      </c>
      <c r="B34" s="6" t="inlineStr">
        <is>
          <t>Books</t>
        </is>
      </c>
      <c r="C34" s="6" t="inlineStr">
        <is>
          <t>Horrorcore verse flipped to testimony, Suno kit delivered</t>
        </is>
      </c>
      <c r="D34" s="6" t="inlineStr">
        <is>
          <t>Done</t>
        </is>
      </c>
      <c r="E34" s="6" t="inlineStr">
        <is>
          <t>Neko runs kit in Suno, reports; BPM 92 if too jazzy</t>
        </is>
      </c>
      <c r="F34" s="6" t="inlineStr">
        <is>
          <t>Neko in Suno</t>
        </is>
      </c>
      <c r="G34" s="6" t="inlineStr">
        <is>
          <t>Neko</t>
        </is>
      </c>
      <c r="H34" s="6" t="inlineStr">
        <is>
          <t>Oct 16</t>
        </is>
      </c>
    </row>
    <row r="35">
      <c r="A35" s="6" t="inlineStr">
        <is>
          <t>T1</t>
        </is>
      </c>
      <c r="B35" s="6" t="inlineStr">
        <is>
          <t>Tech</t>
        </is>
      </c>
      <c r="C35" s="6" t="inlineStr">
        <is>
          <t>Self-host laptop: new laptop (i5-7300U, 16GB, Win10 Pro 22H2) is the host. Per Neko Oct 17: Hermes with DeepSeek, Claude desktop app, Chrome and GitHub are already installed on it (not yet verified by Claude: this chat is linked to the old i3). Docker not installed. Plan: Hermes runs Derrick from the tracker, builds the free pipeline, then a white-hat security pass</t>
        </is>
      </c>
      <c r="D35" s="6" t="inlineStr">
        <is>
          <t>Not started</t>
        </is>
      </c>
      <c r="E35" s="6" t="inlineStr">
        <is>
          <t>MON OCT 19, 9-10 AM ET (calendar block set, Neko at the new laptop): 1) link Claude desktop app on the new laptop to this chat; 2) confirm Hermes model/key works (DeepSeek, or OpenRouter free vs one-time $10, ask before spending); 3) install Docker as the Hermes terminal sandbox; 4) give Hermes the repo morning-word-videos. so it reads overnight/TRACKER.md as its thread dump; 5) run the white-hat test on the finished pipeline | Hermes' own setup list now lives in hermes/Hermes-Tracker.xlsx (Tracker B, rows H1-H16); update Hermes work there, not here</t>
        </is>
      </c>
      <c r="F35" s="6" t="inlineStr">
        <is>
          <t>Neko: be at the new laptop Mon 9 AM ET; any model spend needs his yes</t>
        </is>
      </c>
      <c r="G35" s="6" t="inlineStr">
        <is>
          <t>Neko</t>
        </is>
      </c>
      <c r="H35" s="6" t="inlineStr">
        <is>
          <t>Oct 17 2:25 AM ET</t>
        </is>
      </c>
    </row>
    <row r="36">
      <c r="A36" s="6" t="inlineStr">
        <is>
          <t>T2</t>
        </is>
      </c>
      <c r="B36" s="6" t="inlineStr">
        <is>
          <t>Tech</t>
        </is>
      </c>
      <c r="C36" s="6" t="inlineStr">
        <is>
          <t>Replace trial connectors with free tools (Orshot, Buffer, TinyFish, Descript, ElevenLabs); Neko said 'different route' Oct 15</t>
        </is>
      </c>
      <c r="D36" s="6" t="inlineStr">
        <is>
          <t>On hold</t>
        </is>
      </c>
      <c r="E36" s="6" t="inlineStr">
        <is>
          <t>Ask Neko the new route</t>
        </is>
      </c>
      <c r="F36" s="6" t="inlineStr">
        <is>
          <t>Neko</t>
        </is>
      </c>
      <c r="G36" s="6" t="inlineStr">
        <is>
          <t>Neko</t>
        </is>
      </c>
      <c r="H36" s="6" t="inlineStr">
        <is>
          <t>Oct 16</t>
        </is>
      </c>
    </row>
    <row r="37">
      <c r="A37" s="6" t="inlineStr">
        <is>
          <t>R1</t>
        </is>
      </c>
      <c r="B37" s="6" t="inlineStr">
        <is>
          <t>Resume service</t>
        </is>
      </c>
      <c r="C37" s="6" t="inlineStr">
        <is>
          <t>Aviation resume service: Wix page live ($49), card made, nothing posted, no sales; Neko doubts niche</t>
        </is>
      </c>
      <c r="D37" s="6" t="inlineStr">
        <is>
          <t>On hold</t>
        </is>
      </c>
      <c r="E37" s="6" t="inlineStr">
        <is>
          <t>Neko decides: pivot or drop</t>
        </is>
      </c>
      <c r="F37" s="6" t="inlineStr">
        <is>
          <t>Neko: payment handles, logins, direction</t>
        </is>
      </c>
      <c r="G37" s="6" t="inlineStr">
        <is>
          <t>Neko</t>
        </is>
      </c>
      <c r="H37" s="6" t="inlineStr">
        <is>
          <t>Oct 16</t>
        </is>
      </c>
    </row>
    <row r="38">
      <c r="A38" s="6" t="inlineStr">
        <is>
          <t>X1</t>
        </is>
      </c>
      <c r="B38" s="6" t="inlineStr">
        <is>
          <t>Spending</t>
        </is>
      </c>
      <c r="C38" s="6" t="inlineStr">
        <is>
          <t>Promo credits for John/Proverbs (~210 Flow credits each) - ask first; free path instead</t>
        </is>
      </c>
      <c r="D38" s="6" t="inlineStr">
        <is>
          <t>On hold</t>
        </is>
      </c>
      <c r="E38" s="6" t="inlineStr">
        <is>
          <t>Use free path or get yes</t>
        </is>
      </c>
      <c r="F38" s="6" t="inlineStr">
        <is>
          <t>Neko: credit approval</t>
        </is>
      </c>
      <c r="G38" s="6" t="inlineStr">
        <is>
          <t>Neko</t>
        </is>
      </c>
      <c r="H38" s="6" t="inlineStr">
        <is>
          <t>Oct 16</t>
        </is>
      </c>
    </row>
    <row r="39">
      <c r="A39" s="6" t="inlineStr">
        <is>
          <t>X2</t>
        </is>
      </c>
      <c r="B39" s="6" t="inlineStr">
        <is>
          <t>Music</t>
        </is>
      </c>
      <c r="C39" s="6" t="inlineStr">
        <is>
          <t>Psalms 82-150 glitch fix: closed by Neko ('leave it')</t>
        </is>
      </c>
      <c r="D39" s="6" t="inlineStr">
        <is>
          <t>Done</t>
        </is>
      </c>
      <c r="E39" s="6" t="inlineStr">
        <is>
          <t>None</t>
        </is>
      </c>
      <c r="F39" s="6" t="inlineStr"/>
      <c r="G39" s="6" t="inlineStr">
        <is>
          <t>Neko</t>
        </is>
      </c>
      <c r="H39" s="6" t="inlineStr">
        <is>
          <t>Oct 16</t>
        </is>
      </c>
    </row>
    <row r="40">
      <c r="A40" s="6" t="inlineStr">
        <is>
          <t>D1</t>
        </is>
      </c>
      <c r="B40" s="6" t="inlineStr">
        <is>
          <t>Morning Word</t>
        </is>
      </c>
      <c r="C40" s="6" t="inlineStr">
        <is>
          <t>LOCKED Oct 16: Derrick episodes Monday to Friday only; no Sat/Sun episodes</t>
        </is>
      </c>
      <c r="D40" s="6" t="inlineStr">
        <is>
          <t>Done</t>
        </is>
      </c>
      <c r="E40" s="6" t="inlineStr">
        <is>
          <t>Build Mon-Fri only</t>
        </is>
      </c>
      <c r="F40" s="6" t="inlineStr"/>
      <c r="G40" s="6" t="inlineStr">
        <is>
          <t>Neko</t>
        </is>
      </c>
      <c r="H40" s="6" t="inlineStr">
        <is>
          <t>Oct 16 11:28 PM ET</t>
        </is>
      </c>
    </row>
    <row r="41">
      <c r="A41" s="6" t="inlineStr">
        <is>
          <t>D2</t>
        </is>
      </c>
      <c r="B41" s="6" t="inlineStr">
        <is>
          <t>Morning Word</t>
        </is>
      </c>
      <c r="C41" s="6" t="inlineStr">
        <is>
          <t>Main route is Google Flow; HeyGen only until its credits run out (renews Nov 15, will NOT be renewed)</t>
        </is>
      </c>
      <c r="D41" s="6" t="inlineStr">
        <is>
          <t>Done</t>
        </is>
      </c>
      <c r="E41" s="6" t="inlineStr">
        <is>
          <t>Use HeyGen credits on Derrick episodes before then</t>
        </is>
      </c>
      <c r="F41" s="6" t="inlineStr"/>
      <c r="G41" s="6" t="inlineStr">
        <is>
          <t>Neko</t>
        </is>
      </c>
      <c r="H41" s="6" t="inlineStr">
        <is>
          <t>Oct 16 11:28 PM ET</t>
        </is>
      </c>
    </row>
    <row r="42">
      <c r="A42" s="6" t="inlineStr">
        <is>
          <t>D3</t>
        </is>
      </c>
      <c r="B42" s="6" t="inlineStr">
        <is>
          <t>Morning Word</t>
        </is>
      </c>
      <c r="C42" s="6" t="inlineStr">
        <is>
          <t>Mic-over-mouth Derrick still made in Flow (Sep 24 project, first tile in All media); Neko says it looks good. Use only for free-pipeline tests when lip-sync fails</t>
        </is>
      </c>
      <c r="D42" s="6" t="inlineStr">
        <is>
          <t>Done</t>
        </is>
      </c>
      <c r="E42" s="6" t="inlineStr">
        <is>
          <t>Animate only on Neko's go; check credit cost first</t>
        </is>
      </c>
      <c r="F42" s="6" t="inlineStr"/>
      <c r="G42" s="6" t="inlineStr">
        <is>
          <t>Claude</t>
        </is>
      </c>
      <c r="H42" s="6" t="inlineStr">
        <is>
          <t>Oct 16 11:28 PM ET</t>
        </is>
      </c>
    </row>
    <row r="43">
      <c r="A43" s="6" t="inlineStr">
        <is>
          <t>D4</t>
        </is>
      </c>
      <c r="B43" s="6" t="inlineStr">
        <is>
          <t>Morning Word</t>
        </is>
      </c>
      <c r="C43" s="6" t="inlineStr">
        <is>
          <t>FALLBACK if Flow credits run out or Flow breaks: MiniMax H3 official API ($0.08/sec, about $1.20 per 15s). Self-hosting the open weights is NOT allowed in the U.S. (license excludes US). APIYI reseller $0.03/sec unverified for US use</t>
        </is>
      </c>
      <c r="D43" s="6" t="inlineStr">
        <is>
          <t>On hold</t>
        </is>
      </c>
      <c r="E43" s="6" t="inlineStr">
        <is>
          <t>Revisit only if Flow fails; one test clip first</t>
        </is>
      </c>
      <c r="F43" s="6" t="inlineStr">
        <is>
          <t>Neko: sign up + key as repo secret</t>
        </is>
      </c>
      <c r="G43" s="6" t="inlineStr">
        <is>
          <t>Neko</t>
        </is>
      </c>
      <c r="H43" s="6" t="inlineStr">
        <is>
          <t>Oct 16 11:28 PM ET</t>
        </is>
      </c>
    </row>
    <row r="44">
      <c r="A44" s="6" t="inlineStr">
        <is>
          <t>D5</t>
        </is>
      </c>
      <c r="B44" s="6" t="inlineStr">
        <is>
          <t>Morning Word</t>
        </is>
      </c>
      <c r="C44" s="6" t="inlineStr">
        <is>
          <t>Flow credits: Neko added 2,500 credits Oct 17 (cheaper than HeyGen). Spent 170 on Jeremiah and 30 on Isaiah. HeyGen ends when its paid credits run out (Nov 15), not renewed. Lite = 10 per 8-s clip</t>
        </is>
      </c>
      <c r="D44" s="6" t="inlineStr">
        <is>
          <t>Done</t>
        </is>
      </c>
      <c r="E44" s="6" t="inlineStr">
        <is>
          <t>Credits approved by Neko for episode builds; stay on Lite, one output, targeted fixes</t>
        </is>
      </c>
      <c r="F44" s="6" t="inlineStr"/>
      <c r="G44" s="6" t="inlineStr">
        <is>
          <t>Claude</t>
        </is>
      </c>
      <c r="H44" s="6" t="inlineStr">
        <is>
          <t>Oct 17 4:53 PM ET</t>
        </is>
      </c>
    </row>
    <row r="45">
      <c r="A45" s="6" t="inlineStr">
        <is>
          <t>D6</t>
        </is>
      </c>
      <c r="B45" s="6" t="inlineStr">
        <is>
          <t>Morning Word</t>
        </is>
      </c>
      <c r="C45" s="6" t="inlineStr">
        <is>
          <t>Monday Oct 19 Derrick episode, Jeremiah 29:11 (gray sweater, 16 Derrick clips + 5 reused B-roll). Built, word-checked against script, -14 LUFS, captioned MP4 sent to Neko</t>
        </is>
      </c>
      <c r="D45" s="6" t="inlineStr">
        <is>
          <t>Waiting on Neko</t>
        </is>
      </c>
      <c r="E45" s="6" t="inlineStr">
        <is>
          <t>Neko yes on the exact file, then Buffer 5:00 AM ET Mon Oct 19 (YouTube, Instagram, TikTok, SEO title + AI-presenter caption). Build files in tools/jeremiah-29-11. Week of Oct 19 next: John 3:16, Ps 23:4, Phil 4:6-7, Rom 8:28. Week of Oct 26: Ps 91, Rom 12:2, Gal 5:22-23, Josh 1:9, Matt 28:19</t>
        </is>
      </c>
      <c r="F45" s="6" t="inlineStr">
        <is>
          <t>Neko: yes on the video</t>
        </is>
      </c>
      <c r="G45" s="6" t="inlineStr">
        <is>
          <t>Claude</t>
        </is>
      </c>
      <c r="H45" s="6" t="inlineStr">
        <is>
          <t>Oct 17 3:10 AM ET</t>
        </is>
      </c>
    </row>
    <row r="46">
      <c r="A46" s="6" t="inlineStr">
        <is>
          <t>Z1</t>
        </is>
      </c>
      <c r="B46" s="6" t="inlineStr">
        <is>
          <t>Neko Zion</t>
        </is>
      </c>
      <c r="C46" s="6" t="inlineStr">
        <is>
          <t>Joined 15 gospel reggae FB groups (6 on Oct 16, 9 on Oct 17)</t>
        </is>
      </c>
      <c r="D46" s="6" t="inlineStr">
        <is>
          <t>Done</t>
        </is>
      </c>
      <c r="E46" s="6" t="inlineStr">
        <is>
          <t>8 more on target, join about 3 a day (list in playbook group tracker)</t>
        </is>
      </c>
      <c r="F46" s="6" t="inlineStr"/>
      <c r="G46" s="6" t="inlineStr">
        <is>
          <t>Claude</t>
        </is>
      </c>
      <c r="H46" s="6" t="inlineStr">
        <is>
          <t>Oct 17 1:15 AM ET</t>
        </is>
      </c>
    </row>
    <row r="47">
      <c r="A47" s="6" t="inlineStr">
        <is>
          <t>Z2</t>
        </is>
      </c>
      <c r="B47" s="6" t="inlineStr">
        <is>
          <t>Neko Zion</t>
        </is>
      </c>
      <c r="C47" s="6" t="inlineStr">
        <is>
          <t>Word For Today pre-save posted in Gospel reggae (10.8K) and Reggae gospel songs (15.3K)</t>
        </is>
      </c>
      <c r="D47" s="6" t="inlineStr">
        <is>
          <t>Done</t>
        </is>
      </c>
      <c r="E47" s="6" t="inlineStr">
        <is>
          <t>None</t>
        </is>
      </c>
      <c r="F47" s="6" t="inlineStr"/>
      <c r="G47" s="6" t="inlineStr">
        <is>
          <t>Claude</t>
        </is>
      </c>
      <c r="H47" s="6" t="inlineStr">
        <is>
          <t>Oct 16 11:50 PM ET</t>
        </is>
      </c>
    </row>
    <row r="48">
      <c r="A48" s="6" t="inlineStr">
        <is>
          <t>Z3</t>
        </is>
      </c>
      <c r="B48" s="6" t="inlineStr">
        <is>
          <t>Neko Zion</t>
        </is>
      </c>
      <c r="C48" s="6" t="inlineStr">
        <is>
          <t>Push to groups: Oct 18-20 task (5 groups from Oct 16 joins, 3 per run). Part 2 task Oct 21-23 posts to the 9 groups joined Oct 17 and joins 3 more per run</t>
        </is>
      </c>
      <c r="D48" s="6" t="inlineStr">
        <is>
          <t>In progress</t>
        </is>
      </c>
      <c r="E48" s="6" t="inlineStr">
        <is>
          <t>Tasks run on their own; check posts after Oct 20</t>
        </is>
      </c>
      <c r="F48" s="6" t="inlineStr">
        <is>
          <t>Computer on with Claude desktop app open</t>
        </is>
      </c>
      <c r="G48" s="6" t="inlineStr">
        <is>
          <t>Claude</t>
        </is>
      </c>
      <c r="H48" s="6" t="inlineStr">
        <is>
          <t>Oct 17 1:15 AM ET</t>
        </is>
      </c>
    </row>
    <row r="49">
      <c r="A49" s="6" t="inlineStr">
        <is>
          <t>Z4</t>
        </is>
      </c>
      <c r="B49" s="6" t="inlineStr">
        <is>
          <t>Neko Zion</t>
        </is>
      </c>
      <c r="C49" s="6" t="inlineStr">
        <is>
          <t>Word For Today promo video</t>
        </is>
      </c>
      <c r="D49" s="6" t="inlineStr">
        <is>
          <t>Not started</t>
        </is>
      </c>
      <c r="E49" s="6" t="inlineStr">
        <is>
          <t>Make after the pre-save push</t>
        </is>
      </c>
      <c r="F49" s="6" t="inlineStr"/>
      <c r="G49" s="6" t="inlineStr">
        <is>
          <t>Claude</t>
        </is>
      </c>
      <c r="H49" s="6" t="inlineStr">
        <is>
          <t>Oct 16 11:50 PM ET</t>
        </is>
      </c>
    </row>
    <row r="50">
      <c r="A50" s="6" t="inlineStr">
        <is>
          <t>Z5</t>
        </is>
      </c>
      <c r="B50" s="6" t="inlineStr">
        <is>
          <t>Neko Zion</t>
        </is>
      </c>
      <c r="C50" s="6" t="inlineStr">
        <is>
          <t>Copyright day Tue Oct 20, 2-5 PM ET on calendar</t>
        </is>
      </c>
      <c r="D50" s="6" t="inlineStr">
        <is>
          <t>Done</t>
        </is>
      </c>
      <c r="E50" s="6" t="inlineStr">
        <is>
          <t>None</t>
        </is>
      </c>
      <c r="F50" s="6" t="inlineStr"/>
      <c r="G50" s="6" t="inlineStr">
        <is>
          <t>Claude</t>
        </is>
      </c>
      <c r="H50" s="6" t="inlineStr">
        <is>
          <t>Oct 16 11:50 PM ET</t>
        </is>
      </c>
    </row>
    <row r="51">
      <c r="A51" s="6" t="inlineStr">
        <is>
          <t>Z6</t>
        </is>
      </c>
      <c r="B51" s="6" t="inlineStr">
        <is>
          <t>Neko Zion</t>
        </is>
      </c>
      <c r="C51" s="6" t="inlineStr">
        <is>
          <t>Fiverr license letters from Vaizal: 1 of 8 read (order FO3229E553F07 = tracks 1-3). Tracks 4-7 are in the other 2 offers</t>
        </is>
      </c>
      <c r="D51" s="6" t="inlineStr">
        <is>
          <t>On hold</t>
        </is>
      </c>
      <c r="E51" s="6" t="inlineStr">
        <is>
          <t>Do on Tue Oct 20 with the copyright session; try Chrome app/touch screen for the Fiverr check. Do not raise before then</t>
        </is>
      </c>
      <c r="F51" s="6" t="inlineStr">
        <is>
          <t>Neko decision: parked until Oct 20</t>
        </is>
      </c>
      <c r="G51" s="6" t="inlineStr">
        <is>
          <t>Claude</t>
        </is>
      </c>
      <c r="H51" s="6" t="inlineStr">
        <is>
          <t>Oct 17 3:55 AM ET</t>
        </is>
      </c>
    </row>
    <row r="52">
      <c r="A52" s="6" t="inlineStr">
        <is>
          <t>Z7</t>
        </is>
      </c>
      <c r="B52" s="6" t="inlineStr">
        <is>
          <t>Neko Zion</t>
        </is>
      </c>
      <c r="C52" s="6" t="inlineStr">
        <is>
          <t>Song audio and lyrics: Island of Peace mp3 found in Gmail (nekozionrecords thread 19cf730572b1914c). Other tracks and lyrics not in Drive</t>
        </is>
      </c>
      <c r="D52" s="6" t="inlineStr">
        <is>
          <t>On hold</t>
        </is>
      </c>
      <c r="E52" s="6" t="inlineStr">
        <is>
          <t>Do on Tue Oct 20 with the copyright session; try Chrome app/touch screen for the Fiverr check. Do not raise before then</t>
        </is>
      </c>
      <c r="F52" s="6" t="inlineStr">
        <is>
          <t>Neko decision: parked until Oct 20</t>
        </is>
      </c>
      <c r="G52" s="6" t="inlineStr">
        <is>
          <t>Claude</t>
        </is>
      </c>
      <c r="H52" s="6" t="inlineStr">
        <is>
          <t>Oct 17 3:55 AM ET</t>
        </is>
      </c>
    </row>
    <row r="53">
      <c r="A53" s="6" t="inlineStr">
        <is>
          <t>Z8</t>
        </is>
      </c>
      <c r="B53" s="6" t="inlineStr">
        <is>
          <t>Neko Zion</t>
        </is>
      </c>
      <c r="C53" s="6" t="inlineStr">
        <is>
          <t>Copyright Office: Island of Peace first, then Word For Today and rest of One Love One World (that album filed 4/22/2026). AI origin disclosed briefly and excluded from claim</t>
        </is>
      </c>
      <c r="D53" s="6" t="inlineStr">
        <is>
          <t>Not started</t>
        </is>
      </c>
      <c r="E53" s="6" t="inlineStr">
        <is>
          <t>Tue Oct 20: Neko logs in, pays, uploads audio; Claude fills fields</t>
        </is>
      </c>
      <c r="F53" s="6" t="inlineStr">
        <is>
          <t>Neko: login, payment, audio upload</t>
        </is>
      </c>
      <c r="G53" s="6" t="inlineStr">
        <is>
          <t>Neko</t>
        </is>
      </c>
      <c r="H53" s="6" t="inlineStr">
        <is>
          <t>Oct 16 11:50 PM ET</t>
        </is>
      </c>
    </row>
    <row r="54">
      <c r="A54" s="6" t="inlineStr">
        <is>
          <t>Z9</t>
        </is>
      </c>
      <c r="B54" s="6" t="inlineStr">
        <is>
          <t>Neko Zion</t>
        </is>
      </c>
      <c r="C54" s="6" t="inlineStr">
        <is>
          <t>BMI, MLC, SoundExchange, Songtrust for other tracks</t>
        </is>
      </c>
      <c r="D54" s="6" t="inlineStr">
        <is>
          <t>Not started</t>
        </is>
      </c>
      <c r="E54" s="6" t="inlineStr">
        <is>
          <t>After copyright day</t>
        </is>
      </c>
      <c r="F54" s="6" t="inlineStr"/>
      <c r="G54" s="6" t="inlineStr">
        <is>
          <t>Claude</t>
        </is>
      </c>
      <c r="H54" s="6" t="inlineStr">
        <is>
          <t>Oct 16 11:50 PM ET</t>
        </is>
      </c>
    </row>
    <row r="55">
      <c r="A55" s="6" t="inlineStr">
        <is>
          <t>Z10</t>
        </is>
      </c>
      <c r="B55" s="6" t="inlineStr">
        <is>
          <t>Neko Zion</t>
        </is>
      </c>
      <c r="C55" s="6" t="inlineStr">
        <is>
          <t>Facebook Pages Prince Neko and Neko Zion not in Business Suite; X not connected</t>
        </is>
      </c>
      <c r="D55" s="6" t="inlineStr">
        <is>
          <t>Not started</t>
        </is>
      </c>
      <c r="E55" s="6" t="inlineStr">
        <is>
          <t>Fix Business Suite; connect X</t>
        </is>
      </c>
      <c r="F55" s="6" t="inlineStr">
        <is>
          <t>Neko: page access</t>
        </is>
      </c>
      <c r="G55" s="6" t="inlineStr">
        <is>
          <t>Neko</t>
        </is>
      </c>
      <c r="H55" s="6" t="inlineStr">
        <is>
          <t>Oct 16 11:50 PM ET</t>
        </is>
      </c>
    </row>
    <row r="56">
      <c r="A56" s="6" t="inlineStr">
        <is>
          <t>S12</t>
        </is>
      </c>
      <c r="B56" s="6" t="inlineStr">
        <is>
          <t>Sleep Bible</t>
        </is>
      </c>
      <c r="C56" s="6" t="inlineStr">
        <is>
          <t>Temp branch upload-tmp: only copies of finished John/Proverbs videos cut in pieces (420 MB). Delete only after Neko okays</t>
        </is>
      </c>
      <c r="D56" s="6" t="inlineStr">
        <is>
          <t>Done</t>
        </is>
      </c>
      <c r="E56" s="6" t="inlineStr">
        <is>
          <t>upload-tmp deleted Oct 17 via one-off repo workflow (Neko okayed). Other branches untouched</t>
        </is>
      </c>
      <c r="F56" s="6" t="n"/>
      <c r="G56" s="6" t="inlineStr">
        <is>
          <t>Neko</t>
        </is>
      </c>
      <c r="H56" s="6" t="inlineStr">
        <is>
          <t>Oct 17 12:35 AM ET</t>
        </is>
      </c>
    </row>
    <row r="57">
      <c r="A57" s="6" t="inlineStr">
        <is>
          <t>N1</t>
        </is>
      </c>
      <c r="B57" s="6" t="inlineStr">
        <is>
          <t>Ideas (shelved)</t>
        </is>
      </c>
      <c r="C57" s="6" t="inlineStr">
        <is>
          <t>Church division idea: the enemy keeps the church arguing and divided while the kingdom of darkness grows (fulfillment of prophecy). Form not yet chosen (book, video, sermon series)</t>
        </is>
      </c>
      <c r="D57" s="6" t="inlineStr">
        <is>
          <t>On hold</t>
        </is>
      </c>
      <c r="E57" s="6" t="inlineStr">
        <is>
          <t>Hear the rest from Neko; start only when an in-flight project closes (live on Etsy with illustrations)</t>
        </is>
      </c>
      <c r="F57" s="6" t="inlineStr">
        <is>
          <t>WIP cap: nothing in flight has closed</t>
        </is>
      </c>
      <c r="G57" s="6" t="inlineStr">
        <is>
          <t>Neko</t>
        </is>
      </c>
      <c r="H57" s="6" t="inlineStr">
        <is>
          <t>Oct 17 12:09 AM ET</t>
        </is>
      </c>
    </row>
    <row r="58">
      <c r="A58" t="inlineStr">
        <is>
          <t>Z11</t>
        </is>
      </c>
      <c r="B58" t="inlineStr">
        <is>
          <t>Neko Zion</t>
        </is>
      </c>
      <c r="C58" t="inlineStr">
        <is>
          <t>Duplicate Google Sheet trashed (Neko approved)</t>
        </is>
      </c>
      <c r="D58" t="inlineStr">
        <is>
          <t>Done</t>
        </is>
      </c>
      <c r="E58" t="inlineStr">
        <is>
          <t>None</t>
        </is>
      </c>
      <c r="G58" t="inlineStr">
        <is>
          <t>Claude</t>
        </is>
      </c>
      <c r="H58" t="inlineStr">
        <is>
          <t>Oct 17 1:15 AM ET</t>
        </is>
      </c>
    </row>
    <row r="59">
      <c r="A59" t="inlineStr">
        <is>
          <t>K1</t>
        </is>
      </c>
      <c r="B59" t="inlineStr">
        <is>
          <t>Apparel</t>
        </is>
      </c>
      <c r="C59" t="inlineStr">
        <is>
          <t>Mockups on Neko's models: hoodies in black, cream, white, navy; tees in black, red, navy, cream, white. Cream and white tees now on the red-tee model. Canvas filled</t>
        </is>
      </c>
      <c r="D59" t="inlineStr">
        <is>
          <t>Done</t>
        </is>
      </c>
      <c r="E59" t="inlineStr">
        <is>
          <t>None</t>
        </is>
      </c>
      <c r="F59" t="inlineStr">
        <is>
          <t>None</t>
        </is>
      </c>
      <c r="G59" t="inlineStr">
        <is>
          <t>Claude</t>
        </is>
      </c>
      <c r="H59" t="inlineStr">
        <is>
          <t>Oct 17 1:45 AM ET</t>
        </is>
      </c>
    </row>
    <row r="60">
      <c r="A60" t="inlineStr">
        <is>
          <t>K2</t>
        </is>
      </c>
      <c r="B60" t="inlineStr">
        <is>
          <t>Apparel</t>
        </is>
      </c>
      <c r="C60" t="inlineStr">
        <is>
          <t>Print logo file: official KI logo upscaled to 3912x4240 px (13 in wide at 300 DPI). Source is only 489x530 px, so it is upscaled, not a true vector</t>
        </is>
      </c>
      <c r="D60" t="inlineStr">
        <is>
          <t>Done</t>
        </is>
      </c>
      <c r="E60" t="inlineStr">
        <is>
          <t>None. Send to print provider with the apparel files</t>
        </is>
      </c>
      <c r="F60" t="inlineStr">
        <is>
          <t>Neko OK on print quality</t>
        </is>
      </c>
      <c r="G60" t="inlineStr">
        <is>
          <t>Claude</t>
        </is>
      </c>
      <c r="H60" t="inlineStr">
        <is>
          <t>Oct 17 1:20 AM ET</t>
        </is>
      </c>
    </row>
    <row r="61">
      <c r="A61" t="inlineStr">
        <is>
          <t>K3</t>
        </is>
      </c>
      <c r="B61" t="inlineStr">
        <is>
          <t>Apparel</t>
        </is>
      </c>
      <c r="C61" t="inlineStr">
        <is>
          <t>Back-corner QR code for wash-proof scanning: QR made, decodes to kingdomimpactshop.etsy.com</t>
        </is>
      </c>
      <c r="D61" t="inlineStr">
        <is>
          <t>In progress</t>
        </is>
      </c>
      <c r="E61" t="inlineStr">
        <is>
          <t>Confirm print method and placement with the print provider; wash test</t>
        </is>
      </c>
      <c r="F61" t="inlineStr">
        <is>
          <t>Print provider confirmation</t>
        </is>
      </c>
      <c r="G61" t="inlineStr">
        <is>
          <t>Neko</t>
        </is>
      </c>
      <c r="H61" t="inlineStr">
        <is>
          <t>Oct 17 1:20 AM ET</t>
        </is>
      </c>
    </row>
    <row r="62">
      <c r="A62" t="inlineStr">
        <is>
          <t>K4</t>
        </is>
      </c>
      <c r="B62" t="inlineStr">
        <is>
          <t>Apparel</t>
        </is>
      </c>
      <c r="C62" t="inlineStr">
        <is>
          <t>Apparel designs on models. HH1 = Half Hood Half Holy, PS1 = Psalm 78:52-53 flock design, TS1 = Tap My Shoulder I'll Pray For You (Matt 18:20). All three done on the red tee model; hoodie versions of HH1, PS1, TS1 not done</t>
        </is>
      </c>
      <c r="D62" t="inlineStr">
        <is>
          <t>On hold</t>
        </is>
      </c>
      <c r="E62" t="inlineStr">
        <is>
          <t>Neko Oct 17: hoodie mockups shelved until Etsy day</t>
        </is>
      </c>
      <c r="F62" t="inlineStr">
        <is>
          <t>Etsy day</t>
        </is>
      </c>
      <c r="G62" t="inlineStr">
        <is>
          <t>Claude</t>
        </is>
      </c>
      <c r="H62" t="inlineStr">
        <is>
          <t>Oct 17 5:31 PM ET</t>
        </is>
      </c>
    </row>
    <row r="63">
      <c r="A63" t="inlineStr">
        <is>
          <t>K5</t>
        </is>
      </c>
      <c r="B63" t="inlineStr">
        <is>
          <t>Apparel</t>
        </is>
      </c>
      <c r="C63" t="inlineStr">
        <is>
          <t>Center the 29 older apparel renders (out/*.png) like the new designs</t>
        </is>
      </c>
      <c r="D63" t="inlineStr">
        <is>
          <t>Done</t>
        </is>
      </c>
      <c r="E63" t="inlineStr">
        <is>
          <t>None</t>
        </is>
      </c>
      <c r="F63" t="inlineStr">
        <is>
          <t>None</t>
        </is>
      </c>
      <c r="G63" t="inlineStr">
        <is>
          <t>Claude</t>
        </is>
      </c>
      <c r="H63" t="inlineStr">
        <is>
          <t>Oct 17 1:45 AM ET</t>
        </is>
      </c>
    </row>
    <row r="64">
      <c r="A64" t="inlineStr">
        <is>
          <t>K6</t>
        </is>
      </c>
      <c r="B64" t="inlineStr">
        <is>
          <t>Apparel</t>
        </is>
      </c>
      <c r="C64" t="inlineStr">
        <is>
          <t>Design canvas "KI Apparel Mockups": Tees and Hoodies artboards filled with the finished mockups</t>
        </is>
      </c>
      <c r="D64" t="inlineStr">
        <is>
          <t>Done</t>
        </is>
      </c>
      <c r="E64" t="inlineStr">
        <is>
          <t>Add K4 hoodies when done</t>
        </is>
      </c>
      <c r="F64" t="inlineStr">
        <is>
          <t>None</t>
        </is>
      </c>
      <c r="G64" t="inlineStr">
        <is>
          <t>Claude</t>
        </is>
      </c>
      <c r="H64" t="inlineStr">
        <is>
          <t>Oct 17 1:45 AM ET</t>
        </is>
      </c>
    </row>
    <row r="65">
      <c r="A65" t="inlineStr">
        <is>
          <t>T3</t>
        </is>
      </c>
      <c r="B65" t="inlineStr">
        <is>
          <t>Tech</t>
        </is>
      </c>
      <c r="C65" t="inlineStr">
        <is>
          <t>Music playing on the laptop found and turned off (Neko)</t>
        </is>
      </c>
      <c r="D65" t="inlineStr">
        <is>
          <t>Done</t>
        </is>
      </c>
      <c r="E65" t="inlineStr">
        <is>
          <t>None</t>
        </is>
      </c>
      <c r="F65" t="inlineStr">
        <is>
          <t>None</t>
        </is>
      </c>
      <c r="G65" t="inlineStr">
        <is>
          <t>Neko</t>
        </is>
      </c>
      <c r="H65" t="inlineStr">
        <is>
          <t>Oct 17 1:20 AM ET</t>
        </is>
      </c>
    </row>
    <row r="66">
      <c r="A66" t="inlineStr">
        <is>
          <t>S13</t>
        </is>
      </c>
      <c r="B66" t="inlineStr">
        <is>
          <t>Sleep Bible</t>
        </is>
      </c>
      <c r="C66" t="inlineStr">
        <is>
          <t>Nightly KJV verse cards (Bible-app style: photo background, KJV verse, our lady in a circle, 'soft-spoken KJV Bible readings for sleep') to drive viewers to the long readings. Template built (tools/cards/mist_card.py + lady_circle.png), Romans 8:28 sample sent</t>
        </is>
      </c>
      <c r="D66" t="inlineStr">
        <is>
          <t>In progress</t>
        </is>
      </c>
      <c r="E66" t="inlineStr">
        <is>
          <t>Neko approves the look. Then: background photos from Gemini Pro plan (free, not copied from the Bible app), scheduled task builds each night's card, stage for his yes</t>
        </is>
      </c>
      <c r="F66" t="inlineStr">
        <is>
          <t>Neko: approve sample + say yes to a nightly scheduled task. Backgrounds must be our own or licensed, not the Bible app's photos</t>
        </is>
      </c>
      <c r="G66" t="inlineStr">
        <is>
          <t>Claude</t>
        </is>
      </c>
      <c r="H66" t="inlineStr">
        <is>
          <t>Oct 17 2:56 AM ET</t>
        </is>
      </c>
    </row>
    <row r="67">
      <c r="A67" t="inlineStr">
        <is>
          <t>Z12</t>
        </is>
      </c>
      <c r="B67" t="inlineStr">
        <is>
          <t>Neko Zion</t>
        </is>
      </c>
      <c r="C67" t="inlineStr">
        <is>
          <t>Joined 3 CHRISTAFARI groups (7.4K, 5.3K, 5.3K). Still to join: AFRO GOSPEL ARTISTS WORLDWIDE (2K) and 8 older queue groups</t>
        </is>
      </c>
      <c r="D67" t="inlineStr">
        <is>
          <t>In progress</t>
        </is>
      </c>
      <c r="E67" t="inlineStr">
        <is>
          <t>Join in paced batches (part 2 task joins 3 per run)</t>
        </is>
      </c>
      <c r="G67" t="inlineStr">
        <is>
          <t>Claude</t>
        </is>
      </c>
      <c r="H67" t="inlineStr">
        <is>
          <t>Oct 17 4:55 AM ET</t>
        </is>
      </c>
    </row>
    <row r="68">
      <c r="A68" t="inlineStr">
        <is>
          <t>Z13</t>
        </is>
      </c>
      <c r="B68" t="inlineStr">
        <is>
          <t>Neko Zion</t>
        </is>
      </c>
      <c r="C68" t="inlineStr">
        <is>
          <t>Radio submissions (TDN Radio, Sunlight Radio): SHELVED by Neko Oct 17, belong to the new-single promotion; forms verified real (tdnradio.net/submit-music, sunlightradio.com/submit-music)</t>
        </is>
      </c>
      <c r="D68" t="inlineStr">
        <is>
          <t>On hold</t>
        </is>
      </c>
      <c r="E68" t="inlineStr">
        <is>
          <t>Revisit when the new single promotion starts</t>
        </is>
      </c>
      <c r="F68" t="inlineStr">
        <is>
          <t>Neko: new-single promo kickoff</t>
        </is>
      </c>
      <c r="G68" t="inlineStr">
        <is>
          <t>Claude</t>
        </is>
      </c>
      <c r="H68" t="inlineStr">
        <is>
          <t>Oct 17 4:53 PM ET</t>
        </is>
      </c>
    </row>
    <row r="69">
      <c r="A69" t="inlineStr">
        <is>
          <t>Z14</t>
        </is>
      </c>
      <c r="B69" t="inlineStr">
        <is>
          <t>Standards</t>
        </is>
      </c>
      <c r="C69" t="inlineStr">
        <is>
          <t>NEW STANDARD: when unsure, ask Gemini AI in the browser (gemini.google.com/app) with a live-check, no-guessing prompt, then verify its answer. Steps in playbook. Gemini connector is the crypto exchange, not the AI</t>
        </is>
      </c>
      <c r="D69" t="inlineStr">
        <is>
          <t>Done</t>
        </is>
      </c>
      <c r="E69" t="inlineStr">
        <is>
          <t>Use every thread</t>
        </is>
      </c>
      <c r="G69" t="inlineStr">
        <is>
          <t>Claude</t>
        </is>
      </c>
      <c r="H69" t="inlineStr">
        <is>
          <t>Oct 17 3:50 AM ET</t>
        </is>
      </c>
    </row>
    <row r="70">
      <c r="A70" t="inlineStr">
        <is>
          <t>Z15</t>
        </is>
      </c>
      <c r="B70" t="inlineStr">
        <is>
          <t>Neko Zion</t>
        </is>
      </c>
      <c r="C70" t="inlineStr">
        <is>
          <t>Spotify outreach: curators not reachable. Neko Oct 17: building a NEW Spotify outreach and promotion for the single on Wednesday Oct 21</t>
        </is>
      </c>
      <c r="D70" t="inlineStr">
        <is>
          <t>On hold</t>
        </is>
      </c>
      <c r="E70" t="inlineStr">
        <is>
          <t>Wed Oct 21: build the new outreach and promotion plan for the single</t>
        </is>
      </c>
      <c r="F70" t="inlineStr">
        <is>
          <t>Neko: Wed Oct 21 session</t>
        </is>
      </c>
      <c r="G70" t="inlineStr">
        <is>
          <t>Claude</t>
        </is>
      </c>
      <c r="H70" t="inlineStr">
        <is>
          <t>Oct 17 4:53 PM ET</t>
        </is>
      </c>
    </row>
    <row r="71">
      <c r="A71" t="inlineStr">
        <is>
          <t>M10</t>
        </is>
      </c>
      <c r="B71" t="inlineStr">
        <is>
          <t>Morning Word</t>
        </is>
      </c>
      <c r="C71" t="inlineStr">
        <is>
          <t>Isaiah 41:10 footage (3 Flow clips): ARCHIVED by Neko Oct 17, not usable for the episode it was made for (credits and timing). Keep, do not delete. Possible use: short midday pick-me-up clip</t>
        </is>
      </c>
      <c r="D71" t="inlineStr">
        <is>
          <t>On hold</t>
        </is>
      </c>
      <c r="E71" t="inlineStr">
        <is>
          <t>Keep in archive. Reuse only if Neko picks a use. Files sit in the building session's workspace (/home/claude/isa-build/out), not in the repo</t>
        </is>
      </c>
      <c r="F71" t="inlineStr">
        <is>
          <t>Neko: decides a use</t>
        </is>
      </c>
      <c r="G71" t="inlineStr">
        <is>
          <t>Neko</t>
        </is>
      </c>
      <c r="H71" t="inlineStr">
        <is>
          <t>Oct 17 5:31 PM ET</t>
        </is>
      </c>
    </row>
    <row r="72">
      <c r="A72" t="inlineStr">
        <is>
          <t>M11</t>
        </is>
      </c>
      <c r="B72" t="inlineStr">
        <is>
          <t>Morning Word</t>
        </is>
      </c>
      <c r="C72" t="inlineStr">
        <is>
          <t>Psalm 41:10 episode v4 (Oct 18 4:12 AM ET): v3 rejected (voice changed between lines). Rebuilt all 19 lines through free Seed-VC voice conversion into the approved Psalm 118:24 voice, no pitch shifting. Two speaker-match tests: line-to-line match 0.55 to 0.78, worst adjacent cut 0.68. Final-audio transcript matches script, incl. sign-off. Silent end card, 2:04. No Flow or ElevenLabs credits used. Sent to Neko as one file; Claude cannot hear it. Spots to hear: 1:24-1:30, 1:55-2:00. v3 kept as fallback. | v5 (Oct 18 6:10 AM ET): Neko flagged 1:24-1:29 (line 14) as a different accented voice; only that line redone from a clean American source via Kokoro then Seed-VC (speaker match 0.68 to 0.79). Sent as one file; Claude cannot hear it.</t>
        </is>
      </c>
      <c r="D72" t="inlineStr">
        <is>
          <t>Waiting on Neko</t>
        </is>
      </c>
      <c r="E72" t="inlineStr">
        <is>
          <t>Neko watches v4 and says yes. Then (only after his yes): 5 AM slot, SEO, AI-disclosure flags</t>
        </is>
      </c>
      <c r="F72" t="inlineStr">
        <is>
          <t>Neko: yes on the exact file</t>
        </is>
      </c>
      <c r="G72" t="inlineStr">
        <is>
          <t>Claude</t>
        </is>
      </c>
      <c r="H72" t="inlineStr">
        <is>
          <t>Oct 18 6:10 AM ET</t>
        </is>
      </c>
    </row>
    <row r="73">
      <c r="A73" t="inlineStr">
        <is>
          <t>V2</t>
        </is>
      </c>
      <c r="B73" t="inlineStr">
        <is>
          <t>Verse Shorts</t>
        </is>
      </c>
      <c r="C73" t="inlineStr">
        <is>
          <t>Batch 2: 30 longer passages (ids 30-59, about 25-60 s each, Psalms/Gospels/Romans etc.). All 6 render jobs succeeded; 30 MP4s in release verse-shorts-2 (free runner minutes). Oct 18 4:50 AM ET: card 31 John 3:16-17 queued in Buffer on YouTube, TikTok, Instagram for Oct 25 9 PM ET (queue now 10/10 per channel; rest wait for slots to free). Oct 18 4:55 AM ET: other 29 cards stored in Google Doc "Verse Shorts Queue (batch 2)" (file id 1icX7-98PZqSfqz-ufWljlQONfbGpYMWM_Q5ZzN4bymc): file link, YouTube title, KJV caption, Status per card. Pull from it as Buffer slots free; flip Status to QUEUED. Note: for Buffer, copy the mp4 from the release into verse-shorts/ in the repo first and use the raw.githubusercontent URL.</t>
        </is>
      </c>
      <c r="D73" t="inlineStr">
        <is>
          <t>Waiting on Neko</t>
        </is>
      </c>
      <c r="E73" t="inlineStr">
        <is>
          <t>Neko picks which to post. Queue to Buffer only with his yes on each file (cap 10 per channel, 9 PM ET).</t>
        </is>
      </c>
      <c r="F73" t="inlineStr">
        <is>
          <t>Neko: yes on files</t>
        </is>
      </c>
      <c r="G73" t="inlineStr">
        <is>
          <t>Claude</t>
        </is>
      </c>
      <c r="H73" t="inlineStr">
        <is>
          <t>Oct 18 4:55 AM ET</t>
        </is>
      </c>
    </row>
    <row r="74">
      <c r="A74" t="inlineStr">
        <is>
          <t>D1</t>
        </is>
      </c>
      <c r="B74" t="inlineStr">
        <is>
          <t>Derrick / Morning Word</t>
        </is>
      </c>
      <c r="C74" t="inlineStr">
        <is>
          <t>Isaiah 41:10 Derrick: 20-clip Flow kit sent for Neko to make himself (Claude video generation deprioritized by Neko). HeyGen draft exists (create-v4/70eb6fd4f6d54e8280c1c5ebbf755fa2), voice still AI NEEK, unrendered.</t>
        </is>
      </c>
      <c r="D74" t="inlineStr">
        <is>
          <t>On hold</t>
        </is>
      </c>
      <c r="E74" t="inlineStr">
        <is>
          <t>Only if Neko asks: real Derrick voice needs his sample upload (derrick_voice_sample.mp3) or his ElevenLabs API key in HeyGen.</t>
        </is>
      </c>
      <c r="F74" t="inlineStr">
        <is>
          <t>Neko: voice clone upload or API key</t>
        </is>
      </c>
      <c r="G74" t="inlineStr">
        <is>
          <t>Neko</t>
        </is>
      </c>
      <c r="H74" t="inlineStr">
        <is>
          <t>Oct 18 4:20 AM ET</t>
        </is>
      </c>
    </row>
  </sheetData>
  <autoFilter ref="A1:H23"/>
  <conditionalFormatting sqref="D2:D200">
    <cfRule type="cellIs" priority="1" operator="equal" dxfId="0">
      <formula>"Done"</formula>
    </cfRule>
    <cfRule type="cellIs" priority="2" operator="equal" dxfId="1">
      <formula>"Blocked"</formula>
    </cfRule>
    <cfRule type="cellIs" priority="3" operator="equal" dxfId="2">
      <formula>"In progress"</formula>
    </cfRule>
    <cfRule type="cellIs" priority="4" operator="equal" dxfId="3">
      <formula>"On hold"</formula>
    </cfRule>
    <cfRule type="cellIs" priority="5" operator="equal" dxfId="4">
      <formula>"Not started"</formula>
    </cfRule>
  </conditionalFormatting>
  <dataValidations count="1">
    <dataValidation sqref="D2:D200" showDropDown="0" showInputMessage="0" showErrorMessage="0" allowBlank="0" type="list">
      <formula1>"Not started,In progress,Blocked,On hold,Done"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7"/>
  <sheetViews>
    <sheetView workbookViewId="0">
      <selection activeCell="A1" sqref="A1"/>
    </sheetView>
  </sheetViews>
  <sheetFormatPr baseColWidth="8" defaultRowHeight="15"/>
  <cols>
    <col width="18" customWidth="1" min="1" max="1"/>
    <col width="110" customWidth="1" min="2" max="2"/>
  </cols>
  <sheetData>
    <row r="1">
      <c r="A1" s="2" t="inlineStr">
        <is>
          <t>Rule</t>
        </is>
      </c>
      <c r="B1" s="2" t="inlineStr">
        <is>
          <t>Detail</t>
        </is>
      </c>
    </row>
    <row r="2">
      <c r="A2" s="7" t="inlineStr">
        <is>
          <t>RULE ZERO (read first)</t>
        </is>
      </c>
      <c r="B2" s="7" t="inlineStr">
        <is>
          <t>Never stop after one failed attempt. If a method fails, try the next legitimate method, and keep going through every route (other tools, browsers, repo workflows, other connectors, splitting the job) until the job is done. Report the result, not the reasons it was hard. Say 'I can't' only after every route is tried, and list the routes tried. Applies to every thread and every model: act like Fable. Exception: a safety check or permission block is Neko's decision, not a failed method; say so plainly and give him the options. Neko, Oct 17, 2026.</t>
        </is>
      </c>
    </row>
    <row r="3">
      <c r="A3" s="7" t="inlineStr">
        <is>
          <t>Promo links</t>
        </is>
      </c>
      <c r="B3" s="7" t="inlineStr">
        <is>
          <t>Every sleep-Bible video and every promo for any book or channel carries the Kingdom Impact Shop link plus 3-4 relevant book links in the description. Set by Neko Oct 16, 2026.</t>
        </is>
      </c>
    </row>
    <row r="4">
      <c r="A4" s="7" t="inlineStr">
        <is>
          <t>Scripture</t>
        </is>
      </c>
      <c r="B4" s="7" t="inlineStr">
        <is>
          <t>KJV only. Do not announce it.</t>
        </is>
      </c>
    </row>
    <row r="5">
      <c r="A5" s="7" t="inlineStr">
        <is>
          <t>Derrick</t>
        </is>
      </c>
      <c r="B5" s="7" t="inlineStr">
        <is>
          <t>No 'tomorrow' promises. Never tag people in posts. Nothing posts without Neko's yes on that exact file.</t>
        </is>
      </c>
    </row>
    <row r="6">
      <c r="A6" s="7" t="inlineStr">
        <is>
          <t>Money</t>
        </is>
      </c>
      <c r="B6" s="7" t="inlineStr">
        <is>
          <t>Ask before spending any of his money or credits. Prefer free options (Gemini Pro plan).</t>
        </is>
      </c>
    </row>
    <row r="7">
      <c r="A7" s="7" t="inlineStr">
        <is>
          <t>Asleep work</t>
        </is>
      </c>
      <c r="B7" s="7" t="inlineStr">
        <is>
          <t>When Neko sleeps: work through the last threads, do the work, put it in overnight/ in the repo. No look-at-this asks.</t>
        </is>
      </c>
    </row>
    <row r="8">
      <c r="A8" s="7" t="inlineStr">
        <is>
          <t>Secrets</t>
        </is>
      </c>
      <c r="B8" s="7" t="inlineStr">
        <is>
          <t>Passwords and tokens never in chat.</t>
        </is>
      </c>
    </row>
    <row r="9">
      <c r="A9" s="7" t="inlineStr">
        <is>
          <t>Update habit</t>
        </is>
      </c>
      <c r="B9" s="7" t="inlineStr">
        <is>
          <t>After every piece of work, update Status, Next step and Updated on this sheet, commit and push before replying. Updated holds date AND time in Eastern, like 'Oct 16 11:50 PM ET'. Also set Last updated on the Where we are tab to the same stamp.</t>
        </is>
      </c>
    </row>
    <row r="10">
      <c r="A10" s="7" t="inlineStr">
        <is>
          <t>One tracker</t>
        </is>
      </c>
      <c r="B10" s="7" t="inlineStr">
        <is>
          <t>This file is the only tracker. Read Tasks, Standing rules and How it was done before answering any where-are-we question or asking Neko for anything. Never create another sheet or tracker. Neko rule Oct 16, 2026.</t>
        </is>
      </c>
    </row>
    <row r="11">
      <c r="A11" s="7" t="inlineStr">
        <is>
          <t>Stale check</t>
        </is>
      </c>
      <c r="B11" s="7" t="inlineStr">
        <is>
          <t>Before changing a row, read its Updated stamp. If it is newer than what you last read (another thread worked on it), git pull and reconcile first. Never overwrite a newer row with older information. Always git pull before editing and again before pushing.</t>
        </is>
      </c>
    </row>
    <row r="12">
      <c r="A12" s="7" t="inlineStr">
        <is>
          <t>Capacity and archive</t>
        </is>
      </c>
      <c r="B12" s="7" t="inlineStr">
        <is>
          <t>A tab can hold about 1 million rows and the repo file limit is 100 MB, so space is not the limit; readability is. Keep Tasks under about 150 rows. Done rows older than 14 days move to the Archive tab (same columns plus Archived date). Never delete rows.</t>
        </is>
      </c>
    </row>
    <row r="13">
      <c r="A13" s="7" t="inlineStr">
        <is>
          <t>Versions</t>
        </is>
      </c>
      <c r="B13" s="7" t="inlineStr">
        <is>
          <t>If the file passes about 300 rows or 1 MB: copy it to overnight/archive/Claude-Work-Tracker-V&lt;n&gt;-&lt;date&gt;.xlsx, then start a clean V&lt;n+1&gt; in the main file with open rows only. V1 baseline is already in overnight/archive/.</t>
        </is>
      </c>
    </row>
    <row r="14">
      <c r="A14" s="7" t="inlineStr">
        <is>
          <t>Plain-text mirror</t>
        </is>
      </c>
      <c r="B14" s="7" t="inlineStr">
        <is>
          <t>After every edit run python3 tools/tracker_sync.py. It rebuilds overnight/TRACKER.md, which any thread can read without a spreadsheet library. Commit both files.</t>
        </is>
      </c>
    </row>
    <row r="15">
      <c r="A15" s="7" t="inlineStr">
        <is>
          <t>Thread start</t>
        </is>
      </c>
      <c r="B15" s="7" t="inlineStr">
        <is>
          <t>Every thread: read /README.md in the repo root first, then overnight/TRACKER.md. The root README tells you the rules.</t>
        </is>
      </c>
    </row>
    <row r="16">
      <c r="A16" s="7" t="inlineStr">
        <is>
          <t>Hermes tracker</t>
        </is>
      </c>
      <c r="B16" s="7" t="inlineStr">
        <is>
          <t>Exception set by Neko Oct 17, 2026: Hermes has his OWN tracker, hermes/Hermes-Tracker.xlsx (mirror hermes/TRACKER.md). Do not add Hermes setup rows here and do not edit that file unless working on Hermes. Tracker A items move into it only when Neko says Hermes is flawless.</t>
        </is>
      </c>
    </row>
    <row r="17">
      <c r="A17" s="7" t="inlineStr">
        <is>
          <t>One project per day</t>
        </is>
      </c>
      <c r="B17" s="7" t="inlineStr">
        <is>
          <t>Neko Oct 17, 2026: each day gets ONE dedicated project; on an Etsy day only Etsy, on a music day only music. Reason: too many projects at once, everything gets confused. DRAFT week (Neko can swap days): Mon Derrick/Morning Word, Tue Music (copyright session 2-5 PM), Wed Music promotion (new Spotify outreach), Thu Sleep Bible (incl. YouTube keys + Genesis upload), Fri Etsy and apparel, Sat Books, Sun off. Work outside the day's project only if Neko asks. Also: no back-and-forth; ask once at most, then do the task.</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14"/>
  <sheetViews>
    <sheetView workbookViewId="0">
      <selection activeCell="A1" sqref="A1"/>
    </sheetView>
  </sheetViews>
  <sheetFormatPr baseColWidth="8" defaultRowHeight="15"/>
  <cols>
    <col width="30" customWidth="1" min="1" max="1"/>
    <col width="90" customWidth="1" min="2" max="2"/>
    <col width="70" customWidth="1" min="3" max="3"/>
  </cols>
  <sheetData>
    <row r="1">
      <c r="A1" s="2" t="inlineStr">
        <is>
          <t>Job</t>
        </is>
      </c>
      <c r="B1" s="2" t="inlineStr">
        <is>
          <t>Method that worked</t>
        </is>
      </c>
      <c r="C1" s="2" t="inlineStr">
        <is>
          <t>Where / notes</t>
        </is>
      </c>
    </row>
    <row r="2">
      <c r="A2" s="7" t="inlineStr">
        <is>
          <t>Derrick episode in Flow</t>
        </is>
      </c>
      <c r="B2" s="7" t="inlineStr">
        <is>
          <t>Open Derrick project in Chrome (signed in as neko.husser@gmail.com). Add derrick-gray still as reference, type script clip (about 15 words), generate Veo 3.1 Lite 9:16. Stitch, caption, -14 LUFS in ffmpeg. Send ONE captioned MP4 for approval.</t>
        </is>
      </c>
      <c r="C2" s="7" t="inlineStr">
        <is>
          <t>Project flow.google.com/u/0/project/0a90fb26-707c-45ae-aae4-61a8d163a56b. Keep other Chrome tabs closed. Screenshots in Chrome often time out; use get_page_text.</t>
        </is>
      </c>
    </row>
    <row r="3">
      <c r="A3" s="7" t="inlineStr">
        <is>
          <t>Make a new Derrick still in Flow</t>
        </is>
      </c>
      <c r="B3" s="7" t="inlineStr">
        <is>
          <t>Flow side panel: ingredients (+) button, pick derrick-gray.png from the asset list, Add to prompt, type description, send. Agent confirms before generating; image is free (Nano Banana).</t>
        </is>
      </c>
      <c r="C3" s="7" t="inlineStr">
        <is>
          <t>Done Oct 16 for the mic still.</t>
        </is>
      </c>
    </row>
    <row r="4">
      <c r="A4" s="7" t="inlineStr">
        <is>
          <t>Animate a still</t>
        </is>
      </c>
      <c r="B4" s="7" t="inlineStr">
        <is>
          <t>Flow shows an Animate button under each still. Check the credit cost shown first; Lite is 10 credits.</t>
        </is>
      </c>
      <c r="C4" s="7" t="inlineStr">
        <is>
          <t>Not tested yet.</t>
        </is>
      </c>
    </row>
    <row r="5">
      <c r="A5" s="7" t="inlineStr">
        <is>
          <t>Verse short or sleep video to Buffer</t>
        </is>
      </c>
      <c r="B5" s="7" t="inlineStr">
        <is>
          <t>Render on GitHub Actions, commit mp4 to repo, queue in Buffer (YouTube, TikTok, Instagram) with raw.githubusercontent URL.</t>
        </is>
      </c>
      <c r="C5" s="7" t="inlineStr">
        <is>
          <t>Buffer cap 10 queued per channel. See workflow-playbook memory.</t>
        </is>
      </c>
    </row>
    <row r="6">
      <c r="A6" s="7" t="inlineStr">
        <is>
          <t>Facebook group post or join</t>
        </is>
      </c>
      <c r="B6" s="7" t="inlineStr">
        <is>
          <t>Built-in browser pane (needs laptop awake, pane visible), logged in as Blessed Prayers. Link posts only.</t>
        </is>
      </c>
      <c r="C6" s="7" t="inlineStr">
        <is>
          <t>About 3 groups a day, read rules first.</t>
        </is>
      </c>
    </row>
    <row r="7">
      <c r="A7" s="7" t="inlineStr">
        <is>
          <t>Flow credit saving</t>
        </is>
      </c>
      <c r="B7" s="7" t="inlineStr">
        <is>
          <t>Lite not Quality; one output; 6-7s clips; targeted edits instead of full regenerate; use the free daily 50 credits.</t>
        </is>
      </c>
      <c r="C7" s="7" t="inlineStr">
        <is>
          <t>Source: Google Flow credits help page.</t>
        </is>
      </c>
    </row>
    <row r="8">
      <c r="A8" s="7" t="inlineStr">
        <is>
          <t>HeyGen voice fix</t>
        </is>
      </c>
      <c r="B8" s="7" t="inlineStr">
        <is>
          <t>Voice picker, Import from ElevenLabs (Neko types his own API key) or Clone from approved sample. Voice must be ElevenLabs Derrick Hughes, deeper and more masculine.</t>
        </is>
      </c>
      <c r="C8" s="7" t="inlineStr">
        <is>
          <t>Neko does the login/key step.</t>
        </is>
      </c>
    </row>
    <row r="9">
      <c r="A9" s="7" t="inlineStr">
        <is>
          <t>Copyright Office (eCO)</t>
        </is>
      </c>
      <c r="B9" s="7" t="inlineStr">
        <is>
          <t>eco.copyright.gov in the built-in browser. Neko does login, payment and audio upload; Claude fills every other field. Suno-made audio is disclosed as AI and excluded from the claim; claim is lyrics and human production (Vaizal transfer of rights).</t>
        </is>
      </c>
      <c r="C9" s="7" t="inlineStr">
        <is>
          <t>Fiverr license letters: fiverr.com/inbox/pesanmusik, open PDF link in the pane and read by screenshot.</t>
        </is>
      </c>
    </row>
    <row r="10">
      <c r="A10" s="7" t="inlineStr">
        <is>
          <t>Render a new sleep Bible book</t>
        </is>
      </c>
      <c r="B10" s="7" t="inlineStr">
        <is>
          <t>gh api -X POST repos/&lt;repo&gt;/actions/workflows/sleep-render.yml/dispatches -f ref=main -f inputs[book]=Genesis -f inputs[title]="The Book of Genesis" -f inputs[voice]=af_nicole -f inputs[tag]=sleep-genesis-chapters -f inputs[chunks]=10. Then sleep-master, sleep-qa, sleep-glitch.</t>
        </is>
      </c>
      <c r="C10" s="7" t="inlineStr">
        <is>
          <t>Genesis chapters done Oct 17 (free GitHub minutes, no credits). Book name = file name from aruljohn/Bible-kjv.</t>
        </is>
      </c>
    </row>
    <row r="11">
      <c r="A11" s="7" t="inlineStr">
        <is>
          <t>Upload a long sleep video to YouTube</t>
        </is>
      </c>
      <c r="B11" s="7" t="inlineStr">
        <is>
          <t>HOW PSALMS WAS UPLOADED (Oct 14): split mp4 into ~90MB parts, push to branch media-psalms, in the Studio upload page fetch the parts from raw.githubusercontent.com, join into one File, put it in the upload input with DataTransfer + change event, then fill metadata and thumbnail the same way. Oct 17 John attempt used the same method (branch upload-tmp) and the final inject step was blocked by this session's safety check. Alternative: youtube-upload workflow once the 3 YT secrets exist, or Neko picks the file in the native picker.</t>
        </is>
      </c>
      <c r="C11" s="7" t="inlineStr">
        <is>
          <t>Fetching GitHub release URLs directly from Studio fails (CSP); only raw.githubusercontent.com works. Chrome extension cannot (10MB limit, YouTube blocked). Retry the inject in a session where it is allowed, or use secrets.</t>
        </is>
      </c>
    </row>
    <row r="12">
      <c r="A12" s="7" t="inlineStr">
        <is>
          <t>Book chapters via DeepSeek</t>
        </is>
      </c>
      <c r="B12" s="7" t="inlineStr">
        <is>
          <t>Give it the full brief once, then a correction brief: what changed and why, the ban list, a self-check, and the corrected chapter as the standard. DeepSeek writes ahead and invents backstory, so audit every chapter against the brief (names, facts, Scripture quotes, banned phrases) before Neko reads it. Ban list built from tropes.fyi, pangram.com/signs-of-ai-writing, plusai.com overused words, and the humzakt ai-writing-markers dataset; added the sit-with/hold-space family and no em dashes.</t>
        </is>
      </c>
      <c r="C12" s="7" t="inlineStr">
        <is>
          <t>Neko pastes briefs into DeepSeek; Claude audits and fixes. Chapters live in chat only, never as files.</t>
        </is>
      </c>
    </row>
    <row r="13">
      <c r="A13" s="7" t="inlineStr">
        <is>
          <t>Glitch-scan a rendered sleep book</t>
        </is>
      </c>
      <c r="B13" s="7" t="inlineStr">
        <is>
          <t>Dispatch the sleep-glitch workflow: gh api -X POST repos/&lt;repo&gt;/actions/workflows/sleep-glitch.yml/dispatches -f ref=main -f inputs[book]=John -f inputs[tag]=sleep-john -f inputs[chunks]=10. About 17 min on free GitHub minutes. It aligns each verse to its audio by duration and writes glitch-NN.json to the release (speed, longest pause, click ratio, word match per verse). Read with tools/rel.sh down &lt;tag&gt; &lt;dir&gt; glitch-.</t>
        </is>
      </c>
      <c r="C13" s="7" t="inlineStr">
        <is>
          <t>John and Proverbs scanned Oct 17: speed uniform, only 4 verses with a pause just over 2 s (John 3:18, 12:38, 21:25, Proverbs 12:11), no clicks, word mismatches are spelling variants or Whisper dropouts. Judged by measurement only; Claude cannot hear audio.</t>
        </is>
      </c>
    </row>
    <row r="14">
      <c r="A14" s="7" t="inlineStr">
        <is>
          <t>Move a Pinterest pin to another board</t>
        </is>
      </c>
      <c r="B14" s="7" t="inlineStr">
        <is>
          <t>In Chrome (extension works even if screenshots time out): open pin page, JS click More actions, Edit Pin, click Board dropdown, pick board, click Save. Internal PinResource API call returned 404, UI clicks work.</t>
        </is>
      </c>
      <c r="C14" s="7" t="inlineStr">
        <is>
          <t>Done Oct 17 for 2 pins. Use get_page_text/JS, not screenshots, when laptop screen is off.</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2026-10-16T12:44:48Z</dcterms:created>
  <dcterms:modified xmlns:dcterms="http://purl.org/dc/terms/" xmlns:xsi="http://www.w3.org/2001/XMLSchema-instance" xsi:type="dcterms:W3CDTF">2026-10-18T10:10:33Z</dcterms:modified>
</cp:coreProperties>
</file>