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re we ar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tanding rules" sheetId="3" state="visible" r:id="rId3"/>
    <sheet xmlns:r="http://schemas.openxmlformats.org/officeDocument/2006/relationships" name="How it was done" sheetId="4" state="visible" r:id="rId4"/>
  </sheets>
  <definedNames>
    <definedName name="_xlnm._FilterDatabase" localSheetId="1" hidden="1">'Tasks'!$A$1:$H$23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FFFFF"/>
          <b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Where we are</t>
        </is>
      </c>
    </row>
    <row r="2">
      <c r="A2" t="inlineStr">
        <is>
          <t>Last updated</t>
        </is>
      </c>
      <c r="B2" t="inlineStr">
        <is>
          <t>Oct 16 11:50 PM ET</t>
        </is>
      </c>
    </row>
    <row r="3">
      <c r="A3" s="2" t="inlineStr">
        <is>
          <t>Status</t>
        </is>
      </c>
      <c r="B3" s="2" t="inlineStr">
        <is>
          <t>Count</t>
        </is>
      </c>
    </row>
    <row r="4">
      <c r="A4" t="inlineStr">
        <is>
          <t>Done</t>
        </is>
      </c>
      <c r="B4">
        <f>COUNTIF(Tasks!D2:D200,"Done")</f>
        <v/>
      </c>
    </row>
    <row r="5">
      <c r="A5" t="inlineStr">
        <is>
          <t>In progress</t>
        </is>
      </c>
      <c r="B5">
        <f>COUNTIF(Tasks!D2:D200,"In progress")</f>
        <v/>
      </c>
    </row>
    <row r="6">
      <c r="A6" t="inlineStr">
        <is>
          <t>Blocked</t>
        </is>
      </c>
      <c r="B6">
        <f>COUNTIF(Tasks!D2:D200,"Blocked")</f>
        <v/>
      </c>
    </row>
    <row r="7">
      <c r="A7" t="inlineStr">
        <is>
          <t>On hold</t>
        </is>
      </c>
      <c r="B7">
        <f>COUNTIF(Tasks!D2:D200,"On hold")</f>
        <v/>
      </c>
    </row>
    <row r="8">
      <c r="A8" t="inlineStr">
        <is>
          <t>Not started</t>
        </is>
      </c>
      <c r="B8">
        <f>COUNTIF(Tasks!D2:D200,"Not started")</f>
        <v/>
      </c>
    </row>
    <row r="9">
      <c r="A9" s="3" t="inlineStr">
        <is>
          <t>Total</t>
        </is>
      </c>
      <c r="B9" s="3">
        <f>SUM(B4:B8)</f>
        <v/>
      </c>
    </row>
    <row r="11">
      <c r="A11" t="inlineStr">
        <is>
          <t>% done</t>
        </is>
      </c>
      <c r="B11" s="4">
        <f>IF(B9=0,0,B4/B9)</f>
        <v/>
      </c>
    </row>
    <row r="13">
      <c r="A13" s="3" t="inlineStr">
        <is>
          <t>Next up (Blocked and Not started, top of list)</t>
        </is>
      </c>
    </row>
    <row r="14">
      <c r="A14" t="inlineStr">
        <is>
          <t>Open the Tasks tab and filter Status. Blocked items name exactly what is missing.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13" customWidth="1" min="4" max="4"/>
    <col width="48" customWidth="1" min="5" max="5"/>
    <col width="48" customWidth="1" min="6" max="6"/>
    <col width="9" customWidth="1" min="7" max="7"/>
    <col width="20" customWidth="1" min="8" max="8"/>
  </cols>
  <sheetData>
    <row r="1">
      <c r="A1" s="5" t="inlineStr">
        <is>
          <t>ID</t>
        </is>
      </c>
      <c r="B1" s="5" t="inlineStr">
        <is>
          <t>Project</t>
        </is>
      </c>
      <c r="C1" s="5" t="inlineStr">
        <is>
          <t>Task</t>
        </is>
      </c>
      <c r="D1" s="5" t="inlineStr">
        <is>
          <t>Status</t>
        </is>
      </c>
      <c r="E1" s="5" t="inlineStr">
        <is>
          <t>Next step</t>
        </is>
      </c>
      <c r="F1" s="5" t="inlineStr">
        <is>
          <t>Blocked by / waiting on</t>
        </is>
      </c>
      <c r="G1" s="5" t="inlineStr">
        <is>
          <t>Owner</t>
        </is>
      </c>
      <c r="H1" s="5" t="inlineStr">
        <is>
          <t>Updated</t>
        </is>
      </c>
    </row>
    <row r="2">
      <c r="A2" s="6" t="inlineStr">
        <is>
          <t>S1</t>
        </is>
      </c>
      <c r="B2" s="6" t="inlineStr">
        <is>
          <t>Sleep Bible</t>
        </is>
      </c>
      <c r="C2" s="6" t="inlineStr">
        <is>
          <t>Psalms video live on Blessed Prayers YouTube + shop links in description</t>
        </is>
      </c>
      <c r="D2" s="6" t="inlineStr">
        <is>
          <t>Done</t>
        </is>
      </c>
      <c r="E2" s="6" t="inlineStr">
        <is>
          <t>None</t>
        </is>
      </c>
      <c r="F2" s="6" t="inlineStr"/>
      <c r="G2" s="6" t="inlineStr">
        <is>
          <t>Claude</t>
        </is>
      </c>
      <c r="H2" s="6" t="inlineStr">
        <is>
          <t>Oct 16</t>
        </is>
      </c>
    </row>
    <row r="3">
      <c r="A3" s="6" t="inlineStr">
        <is>
          <t>S2</t>
        </is>
      </c>
      <c r="B3" s="6" t="inlineStr">
        <is>
          <t>Sleep Bible</t>
        </is>
      </c>
      <c r="C3" s="6" t="inlineStr">
        <is>
          <t>John video rendered, mastered, checked</t>
        </is>
      </c>
      <c r="D3" s="6" t="inlineStr">
        <is>
          <t>Done</t>
        </is>
      </c>
      <c r="E3" s="6" t="inlineStr">
        <is>
          <t>None</t>
        </is>
      </c>
      <c r="F3" s="6" t="inlineStr"/>
      <c r="G3" s="6" t="inlineStr">
        <is>
          <t>Claude</t>
        </is>
      </c>
      <c r="H3" s="6" t="inlineStr">
        <is>
          <t>Oct 16</t>
        </is>
      </c>
    </row>
    <row r="4">
      <c r="A4" s="6" t="inlineStr">
        <is>
          <t>S3</t>
        </is>
      </c>
      <c r="B4" s="6" t="inlineStr">
        <is>
          <t>Sleep Bible</t>
        </is>
      </c>
      <c r="C4" s="6" t="inlineStr">
        <is>
          <t>Proverbs video rendered, mastered, checked</t>
        </is>
      </c>
      <c r="D4" s="6" t="inlineStr">
        <is>
          <t>Done</t>
        </is>
      </c>
      <c r="E4" s="6" t="inlineStr">
        <is>
          <t>None</t>
        </is>
      </c>
      <c r="F4" s="6" t="inlineStr"/>
      <c r="G4" s="6" t="inlineStr">
        <is>
          <t>Claude</t>
        </is>
      </c>
      <c r="H4" s="6" t="inlineStr">
        <is>
          <t>Oct 16</t>
        </is>
      </c>
    </row>
    <row r="5">
      <c r="A5" s="6" t="inlineStr">
        <is>
          <t>S4</t>
        </is>
      </c>
      <c r="B5" s="6" t="inlineStr">
        <is>
          <t>Sleep Bible</t>
        </is>
      </c>
      <c r="C5" s="6" t="inlineStr">
        <is>
          <t>John and Proverbs thumbnails (modest woman on beach, approved)</t>
        </is>
      </c>
      <c r="D5" s="6" t="inlineStr">
        <is>
          <t>Done</t>
        </is>
      </c>
      <c r="E5" s="6" t="inlineStr">
        <is>
          <t>None</t>
        </is>
      </c>
      <c r="F5" s="6" t="inlineStr"/>
      <c r="G5" s="6" t="inlineStr">
        <is>
          <t>Claude</t>
        </is>
      </c>
      <c r="H5" s="6" t="inlineStr">
        <is>
          <t>Oct 16</t>
        </is>
      </c>
    </row>
    <row r="6">
      <c r="A6" s="6" t="inlineStr">
        <is>
          <t>S5</t>
        </is>
      </c>
      <c r="B6" s="6" t="inlineStr">
        <is>
          <t>Sleep Bible</t>
        </is>
      </c>
      <c r="C6" s="6" t="inlineStr">
        <is>
          <t>Shop and book links in John, Proverbs, Psalms descriptions</t>
        </is>
      </c>
      <c r="D6" s="6" t="inlineStr">
        <is>
          <t>Done</t>
        </is>
      </c>
      <c r="E6" s="6" t="inlineStr">
        <is>
          <t>None</t>
        </is>
      </c>
      <c r="F6" s="6" t="inlineStr"/>
      <c r="G6" s="6" t="inlineStr">
        <is>
          <t>Claude</t>
        </is>
      </c>
      <c r="H6" s="6" t="inlineStr">
        <is>
          <t>Oct 16</t>
        </is>
      </c>
    </row>
    <row r="7">
      <c r="A7" s="6" t="inlineStr">
        <is>
          <t>S6</t>
        </is>
      </c>
      <c r="B7" s="6" t="inlineStr">
        <is>
          <t>Sleep Bible</t>
        </is>
      </c>
      <c r="C7" s="6" t="inlineStr">
        <is>
          <t>Upload John and Proverbs to YouTube as private with thumbnails</t>
        </is>
      </c>
      <c r="D7" s="6" t="inlineStr">
        <is>
          <t>Blocked</t>
        </is>
      </c>
      <c r="E7" s="6" t="inlineStr">
        <is>
          <t>Run youtube-upload workflow (privacy=private, thumbnail_path set)</t>
        </is>
      </c>
      <c r="F7" s="6" t="inlineStr">
        <is>
          <t>YT_CLIENT_ID, YT_CLIENT_SECRET, YT_REFRESH_TOKEN missing from repo secrets</t>
        </is>
      </c>
      <c r="G7" s="6" t="inlineStr">
        <is>
          <t>Neko</t>
        </is>
      </c>
      <c r="H7" s="6" t="inlineStr">
        <is>
          <t>Oct 16</t>
        </is>
      </c>
    </row>
    <row r="8">
      <c r="A8" s="6" t="inlineStr">
        <is>
          <t>S7</t>
        </is>
      </c>
      <c r="B8" s="6" t="inlineStr">
        <is>
          <t>Sleep Bible</t>
        </is>
      </c>
      <c r="C8" s="6" t="inlineStr">
        <is>
          <t>Derrick promos for John and Proverbs</t>
        </is>
      </c>
      <c r="D8" s="6" t="inlineStr">
        <is>
          <t>Not started</t>
        </is>
      </c>
      <c r="E8" s="6" t="inlineStr">
        <is>
          <t>Build after HeyGen voice fix</t>
        </is>
      </c>
      <c r="F8" s="6" t="inlineStr">
        <is>
          <t>Derrick voice change in HeyGen; Neko go on promo credits</t>
        </is>
      </c>
      <c r="G8" s="6" t="inlineStr">
        <is>
          <t>Claude</t>
        </is>
      </c>
      <c r="H8" s="6" t="inlineStr">
        <is>
          <t>Oct 16</t>
        </is>
      </c>
    </row>
    <row r="9">
      <c r="A9" s="6" t="inlineStr">
        <is>
          <t>S8</t>
        </is>
      </c>
      <c r="B9" s="6" t="inlineStr">
        <is>
          <t>Sleep Bible</t>
        </is>
      </c>
      <c r="C9" s="6" t="inlineStr">
        <is>
          <t>Genesis sleep reading</t>
        </is>
      </c>
      <c r="D9" s="6" t="inlineStr">
        <is>
          <t>Not started</t>
        </is>
      </c>
      <c r="E9" s="6" t="inlineStr">
        <is>
          <t>Needs Neko's go; no render exists</t>
        </is>
      </c>
      <c r="F9" s="6" t="inlineStr">
        <is>
          <t>Neko go</t>
        </is>
      </c>
      <c r="G9" s="6" t="inlineStr">
        <is>
          <t>Claude</t>
        </is>
      </c>
      <c r="H9" s="6" t="inlineStr">
        <is>
          <t>Oct 16</t>
        </is>
      </c>
    </row>
    <row r="10">
      <c r="A10" s="6" t="inlineStr">
        <is>
          <t>S9</t>
        </is>
      </c>
      <c r="B10" s="6" t="inlineStr">
        <is>
          <t>Sleep Bible</t>
        </is>
      </c>
      <c r="C10" s="6" t="inlineStr">
        <is>
          <t>Pinned comment with shop link on each sleep video</t>
        </is>
      </c>
      <c r="D10" s="6" t="inlineStr">
        <is>
          <t>Not started</t>
        </is>
      </c>
      <c r="E10" s="6" t="inlineStr">
        <is>
          <t>Add once videos are public</t>
        </is>
      </c>
      <c r="F10" s="6" t="inlineStr"/>
      <c r="G10" s="6" t="inlineStr">
        <is>
          <t>Claude</t>
        </is>
      </c>
      <c r="H10" s="6" t="inlineStr">
        <is>
          <t>Oct 16</t>
        </is>
      </c>
    </row>
    <row r="11">
      <c r="A11" s="6" t="inlineStr">
        <is>
          <t>S10</t>
        </is>
      </c>
      <c r="B11" s="6" t="inlineStr">
        <is>
          <t>Sleep Bible</t>
        </is>
      </c>
      <c r="C11" s="6" t="inlineStr">
        <is>
          <t>YouTube cards / end screens pointing to books</t>
        </is>
      </c>
      <c r="D11" s="6" t="inlineStr">
        <is>
          <t>Not started</t>
        </is>
      </c>
      <c r="E11" s="6" t="inlineStr">
        <is>
          <t>Set in Studio video editor</t>
        </is>
      </c>
      <c r="F11" s="6" t="inlineStr"/>
      <c r="G11" s="6" t="inlineStr">
        <is>
          <t>Claude</t>
        </is>
      </c>
      <c r="H11" s="6" t="inlineStr">
        <is>
          <t>Oct 16</t>
        </is>
      </c>
    </row>
    <row r="12">
      <c r="A12" s="6" t="inlineStr">
        <is>
          <t>M1</t>
        </is>
      </c>
      <c r="B12" s="6" t="inlineStr">
        <is>
          <t>Morning Word</t>
        </is>
      </c>
      <c r="C12" s="6" t="inlineStr">
        <is>
          <t>Day 4 (1 Peter 5:7) delivered by Buffer to YouTube, Instagram, TikTok</t>
        </is>
      </c>
      <c r="D12" s="6" t="inlineStr">
        <is>
          <t>Done</t>
        </is>
      </c>
      <c r="E12" s="6" t="inlineStr">
        <is>
          <t>None</t>
        </is>
      </c>
      <c r="F12" s="6" t="inlineStr"/>
      <c r="G12" s="6" t="inlineStr">
        <is>
          <t>Claude</t>
        </is>
      </c>
      <c r="H12" s="6" t="inlineStr">
        <is>
          <t>Oct 16</t>
        </is>
      </c>
    </row>
    <row r="13">
      <c r="A13" s="6" t="inlineStr">
        <is>
          <t>M2</t>
        </is>
      </c>
      <c r="B13" s="6" t="inlineStr">
        <is>
          <t>Morning Word</t>
        </is>
      </c>
      <c r="C13" s="6" t="inlineStr">
        <is>
          <t>Joshua 1:9 image card queued for 9 AM ET</t>
        </is>
      </c>
      <c r="D13" s="6" t="inlineStr">
        <is>
          <t>Done</t>
        </is>
      </c>
      <c r="E13" s="6" t="inlineStr">
        <is>
          <t>Confirm it sent</t>
        </is>
      </c>
      <c r="F13" s="6" t="inlineStr"/>
      <c r="G13" s="6" t="inlineStr">
        <is>
          <t>Claude</t>
        </is>
      </c>
      <c r="H13" s="6" t="inlineStr">
        <is>
          <t>Oct 16</t>
        </is>
      </c>
    </row>
    <row r="14">
      <c r="A14" s="6" t="inlineStr">
        <is>
          <t>M3</t>
        </is>
      </c>
      <c r="B14" s="6" t="inlineStr">
        <is>
          <t>Morning Word</t>
        </is>
      </c>
      <c r="C14" s="6" t="inlineStr">
        <is>
          <t>Derrick voice changed in HeyGen to the ElevenLabs Derrick Hughes clone</t>
        </is>
      </c>
      <c r="D14" s="6" t="inlineStr">
        <is>
          <t>In progress</t>
        </is>
      </c>
      <c r="E14" s="6" t="inlineStr">
        <is>
          <t>Neko is changing it</t>
        </is>
      </c>
      <c r="F14" s="6" t="inlineStr">
        <is>
          <t>Neko changing voice in HeyGen</t>
        </is>
      </c>
      <c r="G14" s="6" t="inlineStr">
        <is>
          <t>Neko</t>
        </is>
      </c>
      <c r="H14" s="6" t="inlineStr">
        <is>
          <t>Oct 16</t>
        </is>
      </c>
    </row>
    <row r="15">
      <c r="A15" s="6" t="inlineStr">
        <is>
          <t>M4</t>
        </is>
      </c>
      <c r="B15" s="6" t="inlineStr">
        <is>
          <t>Morning Word</t>
        </is>
      </c>
      <c r="C15" s="6" t="inlineStr">
        <is>
          <t>Derrick Day 5 and Day 6 videos built and scheduled</t>
        </is>
      </c>
      <c r="D15" s="6" t="inlineStr">
        <is>
          <t>Not started</t>
        </is>
      </c>
      <c r="E15" s="6" t="inlineStr">
        <is>
          <t>Build after M3. Nothing in Buffer for Oct 16-17</t>
        </is>
      </c>
      <c r="F15" s="6" t="inlineStr">
        <is>
          <t>M3</t>
        </is>
      </c>
      <c r="G15" s="6" t="inlineStr">
        <is>
          <t>Claude</t>
        </is>
      </c>
      <c r="H15" s="6" t="inlineStr">
        <is>
          <t>Oct 16</t>
        </is>
      </c>
    </row>
    <row r="16">
      <c r="A16" s="6" t="inlineStr">
        <is>
          <t>P1</t>
        </is>
      </c>
      <c r="B16" s="6" t="inlineStr">
        <is>
          <t>Pinterest</t>
        </is>
      </c>
      <c r="C16" s="6" t="inlineStr">
        <is>
          <t>Pin Etsy listings (14 pins live)</t>
        </is>
      </c>
      <c r="D16" s="6" t="inlineStr">
        <is>
          <t>Done</t>
        </is>
      </c>
      <c r="E16" s="6" t="inlineStr">
        <is>
          <t>Pin remaining listings (audiobooks, teen playbook, apparel)</t>
        </is>
      </c>
      <c r="F16" s="6" t="inlineStr"/>
      <c r="G16" s="6" t="inlineStr">
        <is>
          <t>Claude</t>
        </is>
      </c>
      <c r="H16" s="6" t="inlineStr">
        <is>
          <t>Oct 16</t>
        </is>
      </c>
    </row>
    <row r="17">
      <c r="A17" s="6" t="inlineStr">
        <is>
          <t>P2</t>
        </is>
      </c>
      <c r="B17" s="6" t="inlineStr">
        <is>
          <t>Pinterest</t>
        </is>
      </c>
      <c r="C17" s="6" t="inlineStr">
        <is>
          <t>Move 2 pins to the right board (I Wanna Die Different, Built to Carry)</t>
        </is>
      </c>
      <c r="D17" s="6" t="inlineStr">
        <is>
          <t>Not started</t>
        </is>
      </c>
      <c r="E17" s="6" t="inlineStr">
        <is>
          <t>Re-pin to Christian Books &amp; Audiobooks</t>
        </is>
      </c>
      <c r="F17" s="6" t="inlineStr"/>
      <c r="G17" s="6" t="inlineStr">
        <is>
          <t>Claude</t>
        </is>
      </c>
      <c r="H17" s="6" t="inlineStr">
        <is>
          <t>Oct 16</t>
        </is>
      </c>
    </row>
    <row r="18">
      <c r="A18" s="6" t="inlineStr">
        <is>
          <t>F1</t>
        </is>
      </c>
      <c r="B18" s="6" t="inlineStr">
        <is>
          <t>Outreach</t>
        </is>
      </c>
      <c r="C18" s="6" t="inlineStr">
        <is>
          <t>Facebook posts on Blessed Prayers and Prince Nico pages</t>
        </is>
      </c>
      <c r="D18" s="6" t="inlineStr">
        <is>
          <t>Not started</t>
        </is>
      </c>
      <c r="E18" s="6" t="inlineStr">
        <is>
          <t>Post where group rules allow Etsy links</t>
        </is>
      </c>
      <c r="F18" s="6" t="inlineStr">
        <is>
          <t>Facebook site permission in browser</t>
        </is>
      </c>
      <c r="G18" s="6" t="inlineStr">
        <is>
          <t>Claude</t>
        </is>
      </c>
      <c r="H18" s="6" t="inlineStr">
        <is>
          <t>Oct 16</t>
        </is>
      </c>
    </row>
    <row r="19">
      <c r="A19" s="6" t="inlineStr">
        <is>
          <t>G1</t>
        </is>
      </c>
      <c r="B19" s="6" t="inlineStr">
        <is>
          <t>Gossip teaching</t>
        </is>
      </c>
      <c r="C19" s="6" t="inlineStr">
        <is>
          <t>7-day scripts written, saved in repo</t>
        </is>
      </c>
      <c r="D19" s="6" t="inlineStr">
        <is>
          <t>Done</t>
        </is>
      </c>
      <c r="E19" s="6" t="inlineStr">
        <is>
          <t>None</t>
        </is>
      </c>
      <c r="F19" s="6" t="inlineStr"/>
      <c r="G19" s="6" t="inlineStr">
        <is>
          <t>Claude</t>
        </is>
      </c>
      <c r="H19" s="6" t="inlineStr">
        <is>
          <t>Oct 16</t>
        </is>
      </c>
    </row>
    <row r="20">
      <c r="A20" s="6" t="inlineStr">
        <is>
          <t>G2</t>
        </is>
      </c>
      <c r="B20" s="6" t="inlineStr">
        <is>
          <t>Gossip teaching</t>
        </is>
      </c>
      <c r="C20" s="6" t="inlineStr">
        <is>
          <t>Rewrite to Neko's corrections</t>
        </is>
      </c>
      <c r="D20" s="6" t="inlineStr">
        <is>
          <t>On hold</t>
        </is>
      </c>
      <c r="E20" s="6" t="inlineStr">
        <is>
          <t>Wait for his review</t>
        </is>
      </c>
      <c r="F20" s="6" t="inlineStr">
        <is>
          <t>Neko must see scripts first</t>
        </is>
      </c>
      <c r="G20" s="6" t="inlineStr">
        <is>
          <t>Neko</t>
        </is>
      </c>
      <c r="H20" s="6" t="inlineStr">
        <is>
          <t>Oct 16</t>
        </is>
      </c>
    </row>
    <row r="21">
      <c r="A21" s="6" t="inlineStr">
        <is>
          <t>H1</t>
        </is>
      </c>
      <c r="B21" s="6" t="inlineStr">
        <is>
          <t>Shopify</t>
        </is>
      </c>
      <c r="C21" s="6" t="inlineStr">
        <is>
          <t>First-pass niche research (night-shift sleep products)</t>
        </is>
      </c>
      <c r="D21" s="6" t="inlineStr">
        <is>
          <t>Done</t>
        </is>
      </c>
      <c r="E21" s="6" t="inlineStr">
        <is>
          <t>None</t>
        </is>
      </c>
      <c r="F21" s="6" t="inlineStr"/>
      <c r="G21" s="6" t="inlineStr">
        <is>
          <t>Claude</t>
        </is>
      </c>
      <c r="H21" s="6" t="inlineStr">
        <is>
          <t>Oct 16</t>
        </is>
      </c>
    </row>
    <row r="22">
      <c r="A22" s="6" t="inlineStr">
        <is>
          <t>H2</t>
        </is>
      </c>
      <c r="B22" s="6" t="inlineStr">
        <is>
          <t>Shopify</t>
        </is>
      </c>
      <c r="C22" s="6" t="inlineStr">
        <is>
          <t>Vet real CJ product pages for the 3 candidates</t>
        </is>
      </c>
      <c r="D22" s="6" t="inlineStr">
        <is>
          <t>Not started</t>
        </is>
      </c>
      <c r="E22" s="6" t="inlineStr">
        <is>
          <t>Open CJ pages and check reviews, shipping</t>
        </is>
      </c>
      <c r="F22" s="6" t="inlineStr"/>
      <c r="G22" s="6" t="inlineStr">
        <is>
          <t>Claude</t>
        </is>
      </c>
      <c r="H22" s="6" t="inlineStr">
        <is>
          <t>Oct 16</t>
        </is>
      </c>
    </row>
    <row r="23">
      <c r="A23" s="6" t="inlineStr">
        <is>
          <t>A1</t>
        </is>
      </c>
      <c r="B23" s="6" t="inlineStr">
        <is>
          <t>Free avatar</t>
        </is>
      </c>
      <c r="C23" s="6" t="inlineStr">
        <is>
          <t>Free-face test (InfiniteTalk or MuseTalk on Kaggle)</t>
        </is>
      </c>
      <c r="D23" s="6" t="inlineStr">
        <is>
          <t>Not started</t>
        </is>
      </c>
      <c r="E23" s="6" t="inlineStr">
        <is>
          <t>Neko says token is in; run test</t>
        </is>
      </c>
      <c r="F23" s="6" t="inlineStr"/>
      <c r="G23" s="6" t="inlineStr">
        <is>
          <t>Claude</t>
        </is>
      </c>
      <c r="H23" s="6" t="inlineStr">
        <is>
          <t>Oct 16</t>
        </is>
      </c>
    </row>
    <row r="24">
      <c r="A24" s="6" t="inlineStr">
        <is>
          <t>S11</t>
        </is>
      </c>
      <c r="B24" s="6" t="inlineStr">
        <is>
          <t>Sleep Bible</t>
        </is>
      </c>
      <c r="C24" s="6" t="inlineStr">
        <is>
          <t>Genesis sleep reading: render started 8:50 AM Oct 16 (sleep-render, tag sleep-genesis-chapters)</t>
        </is>
      </c>
      <c r="D24" s="6" t="inlineStr">
        <is>
          <t>In progress</t>
        </is>
      </c>
      <c r="E24" s="6" t="inlineStr">
        <is>
          <t>Run sleep-master (needs title frame), sleep-qa, sleep-glitch, write youtube.json</t>
        </is>
      </c>
      <c r="F24" s="6" t="inlineStr">
        <is>
          <t>Upload blocked on YT secrets</t>
        </is>
      </c>
      <c r="G24" s="6" t="inlineStr">
        <is>
          <t>Claude</t>
        </is>
      </c>
      <c r="H24" s="6" t="inlineStr">
        <is>
          <t>Oct 16</t>
        </is>
      </c>
    </row>
    <row r="25">
      <c r="A25" s="6" t="inlineStr">
        <is>
          <t>M5</t>
        </is>
      </c>
      <c r="B25" s="6" t="inlineStr">
        <is>
          <t>Morning Word</t>
        </is>
      </c>
      <c r="C25" s="6" t="inlineStr">
        <is>
          <t>Day 4 (1 Peter 5:7) built, Buffer-delivered Oct 16 5 AM; Neko said 'good, not the best'</t>
        </is>
      </c>
      <c r="D25" s="6" t="inlineStr">
        <is>
          <t>Done</t>
        </is>
      </c>
      <c r="E25" s="6" t="inlineStr">
        <is>
          <t>Rebuild only if Neko asks</t>
        </is>
      </c>
      <c r="F25" s="6" t="inlineStr"/>
      <c r="G25" s="6" t="inlineStr">
        <is>
          <t>Claude</t>
        </is>
      </c>
      <c r="H25" s="6" t="inlineStr">
        <is>
          <t>Oct 16</t>
        </is>
      </c>
    </row>
    <row r="26">
      <c r="A26" s="6" t="inlineStr">
        <is>
          <t>M6</t>
        </is>
      </c>
      <c r="B26" s="6" t="inlineStr">
        <is>
          <t>Morning Word</t>
        </is>
      </c>
      <c r="C26" s="6" t="inlineStr">
        <is>
          <t>Week 2 Days 2-7 and Oct 17+ not built</t>
        </is>
      </c>
      <c r="D26" s="6" t="inlineStr">
        <is>
          <t>Blocked</t>
        </is>
      </c>
      <c r="E26" s="6" t="inlineStr">
        <is>
          <t>Build after HeyGen voice change</t>
        </is>
      </c>
      <c r="F26" s="6" t="inlineStr">
        <is>
          <t>Neko: HeyGen voice change</t>
        </is>
      </c>
      <c r="G26" s="6" t="inlineStr">
        <is>
          <t>Neko</t>
        </is>
      </c>
      <c r="H26" s="6" t="inlineStr">
        <is>
          <t>Oct 16</t>
        </is>
      </c>
    </row>
    <row r="27">
      <c r="A27" s="6" t="inlineStr">
        <is>
          <t>M7</t>
        </is>
      </c>
      <c r="B27" s="6" t="inlineStr">
        <is>
          <t>Morning Word</t>
        </is>
      </c>
      <c r="C27" s="6" t="inlineStr">
        <is>
          <t>Free pipeline: Chatterbox voice + LiveTalk face on Kaggle (voice and face tests passed Oct 15)</t>
        </is>
      </c>
      <c r="D27" s="6" t="inlineStr">
        <is>
          <t>In progress</t>
        </is>
      </c>
      <c r="E27" s="6" t="inlineStr">
        <is>
          <t>60-sec real-narration test; brightness drift fix; Kaggle-&gt;GitHub handoff test</t>
        </is>
      </c>
      <c r="F27" s="6" t="inlineStr">
        <is>
          <t>Kaggle GITHUB_TOKEN secret (Neko says in); ElevenLabs credits at zero; intro/outro music missing</t>
        </is>
      </c>
      <c r="G27" s="6" t="inlineStr">
        <is>
          <t>Claude</t>
        </is>
      </c>
      <c r="H27" s="6" t="inlineStr">
        <is>
          <t>Oct 16</t>
        </is>
      </c>
    </row>
    <row r="28">
      <c r="A28" s="6" t="inlineStr">
        <is>
          <t>M8</t>
        </is>
      </c>
      <c r="B28" s="6" t="inlineStr">
        <is>
          <t>Morning Word</t>
        </is>
      </c>
      <c r="C28" s="6" t="inlineStr">
        <is>
          <t>Alternative-workflow thread turns 77-184 unread (hit read limit)</t>
        </is>
      </c>
      <c r="D28" s="6" t="inlineStr">
        <is>
          <t>Not started</t>
        </is>
      </c>
      <c r="E28" s="6" t="inlineStr">
        <is>
          <t>Re-read after limit resets, update M7</t>
        </is>
      </c>
      <c r="F28" s="6" t="inlineStr">
        <is>
          <t>Hourly chat-read limit</t>
        </is>
      </c>
      <c r="G28" s="6" t="inlineStr">
        <is>
          <t>Claude</t>
        </is>
      </c>
      <c r="H28" s="6" t="inlineStr">
        <is>
          <t>Oct 16</t>
        </is>
      </c>
    </row>
    <row r="29">
      <c r="A29" s="6" t="inlineStr">
        <is>
          <t>M9</t>
        </is>
      </c>
      <c r="B29" s="6" t="inlineStr">
        <is>
          <t>Morning Word</t>
        </is>
      </c>
      <c r="C29" s="6" t="inlineStr">
        <is>
          <t>Derek only thread turns 117-361 unread</t>
        </is>
      </c>
      <c r="D29" s="6" t="inlineStr">
        <is>
          <t>Not started</t>
        </is>
      </c>
      <c r="E29" s="6" t="inlineStr">
        <is>
          <t>Re-read after limit resets, reconcile Week 2 status</t>
        </is>
      </c>
      <c r="F29" s="6" t="inlineStr">
        <is>
          <t>Hourly chat-read limit</t>
        </is>
      </c>
      <c r="G29" s="6" t="inlineStr">
        <is>
          <t>Claude</t>
        </is>
      </c>
      <c r="H29" s="6" t="inlineStr">
        <is>
          <t>Oct 16</t>
        </is>
      </c>
    </row>
    <row r="30">
      <c r="A30" s="6" t="inlineStr">
        <is>
          <t>E1</t>
        </is>
      </c>
      <c r="B30" s="6" t="inlineStr">
        <is>
          <t>Etsy</t>
        </is>
      </c>
      <c r="C30" s="6" t="inlineStr">
        <is>
          <t>Etsy connector trial ends Oct 17; 4 empty drafts; journals/planners still in Desk Calendars</t>
        </is>
      </c>
      <c r="D30" s="6" t="inlineStr">
        <is>
          <t>Not started</t>
        </is>
      </c>
      <c r="E30" s="6" t="inlineStr">
        <is>
          <t>Neko decides on trial; Claude tidies drafts and categories</t>
        </is>
      </c>
      <c r="F30" s="6" t="inlineStr">
        <is>
          <t>Neko: trial decision</t>
        </is>
      </c>
      <c r="G30" s="6" t="inlineStr">
        <is>
          <t>Neko</t>
        </is>
      </c>
      <c r="H30" s="6" t="inlineStr">
        <is>
          <t>Oct 16</t>
        </is>
      </c>
    </row>
    <row r="31">
      <c r="A31" s="6" t="inlineStr">
        <is>
          <t>E2</t>
        </is>
      </c>
      <c r="B31" s="6" t="inlineStr">
        <is>
          <t>Etsy</t>
        </is>
      </c>
      <c r="C31" s="6" t="inlineStr">
        <is>
          <t>Facebook groups: Key live in Christian Fiction Fans; 4 posts in admin review; Married Twice unverified; Say Something About My Father blocked by safety check</t>
        </is>
      </c>
      <c r="D31" s="6" t="inlineStr">
        <is>
          <t>In progress</t>
        </is>
      </c>
      <c r="E31" s="6" t="inlineStr">
        <is>
          <t>Verify which posts went live; no new posting until Facebook allowed</t>
        </is>
      </c>
      <c r="F31" s="6" t="inlineStr">
        <is>
          <t>Facebook site permission</t>
        </is>
      </c>
      <c r="G31" s="6" t="inlineStr">
        <is>
          <t>Claude</t>
        </is>
      </c>
      <c r="H31" s="6" t="inlineStr">
        <is>
          <t>Oct 16</t>
        </is>
      </c>
    </row>
    <row r="32">
      <c r="A32" s="6" t="inlineStr">
        <is>
          <t>E3</t>
        </is>
      </c>
      <c r="B32" s="6" t="inlineStr">
        <is>
          <t>Etsy</t>
        </is>
      </c>
      <c r="C32" s="6" t="inlineStr">
        <is>
          <t>Six books still lack PDFs; Christian Anxiety Workbook has no PDF/description/tags</t>
        </is>
      </c>
      <c r="D32" s="6" t="inlineStr">
        <is>
          <t>Not started</t>
        </is>
      </c>
      <c r="E32" s="6" t="inlineStr">
        <is>
          <t>Neko supplies PDFs</t>
        </is>
      </c>
      <c r="F32" s="6" t="inlineStr">
        <is>
          <t>Neko: PDFs</t>
        </is>
      </c>
      <c r="G32" s="6" t="inlineStr">
        <is>
          <t>Neko</t>
        </is>
      </c>
      <c r="H32" s="6" t="inlineStr">
        <is>
          <t>Oct 16</t>
        </is>
      </c>
    </row>
    <row r="33">
      <c r="A33" s="6" t="inlineStr">
        <is>
          <t>B1</t>
        </is>
      </c>
      <c r="B33" s="6" t="inlineStr">
        <is>
          <t>Books</t>
        </is>
      </c>
      <c r="C33" s="6" t="inlineStr">
        <is>
          <t>Mother-in-law book 'The Empty Chair': ch 1-5 delivered, 6-13 to write</t>
        </is>
      </c>
      <c r="D33" s="6" t="inlineStr">
        <is>
          <t>In progress</t>
        </is>
      </c>
      <c r="E33" s="6" t="inlineStr">
        <is>
          <t>Neko reads/corrects ch 2-5, says 'next' for ch 6</t>
        </is>
      </c>
      <c r="F33" s="6" t="inlineStr">
        <is>
          <t>Neko review; Norman's father detail; check overlap with Mama's Boys</t>
        </is>
      </c>
      <c r="G33" s="6" t="inlineStr">
        <is>
          <t>Neko</t>
        </is>
      </c>
      <c r="H33" s="6" t="inlineStr">
        <is>
          <t>Oct 16</t>
        </is>
      </c>
    </row>
    <row r="34">
      <c r="A34" s="6" t="inlineStr">
        <is>
          <t>B2</t>
        </is>
      </c>
      <c r="B34" s="6" t="inlineStr">
        <is>
          <t>Books</t>
        </is>
      </c>
      <c r="C34" s="6" t="inlineStr">
        <is>
          <t>Horrorcore verse flipped to testimony, Suno kit delivered</t>
        </is>
      </c>
      <c r="D34" s="6" t="inlineStr">
        <is>
          <t>Done</t>
        </is>
      </c>
      <c r="E34" s="6" t="inlineStr">
        <is>
          <t>Neko runs kit in Suno, reports; BPM 92 if too jazzy</t>
        </is>
      </c>
      <c r="F34" s="6" t="inlineStr">
        <is>
          <t>Neko in Suno</t>
        </is>
      </c>
      <c r="G34" s="6" t="inlineStr">
        <is>
          <t>Neko</t>
        </is>
      </c>
      <c r="H34" s="6" t="inlineStr">
        <is>
          <t>Oct 16</t>
        </is>
      </c>
    </row>
    <row r="35">
      <c r="A35" s="6" t="inlineStr">
        <is>
          <t>T1</t>
        </is>
      </c>
      <c r="B35" s="6" t="inlineStr">
        <is>
          <t>Tech</t>
        </is>
      </c>
      <c r="C35" s="6" t="inlineStr">
        <is>
          <t>Self-host laptop: new laptop (i5-7300U, 16GB) chosen; Docker not installed; Hermes free-model setup not started</t>
        </is>
      </c>
      <c r="D35" s="6" t="inlineStr">
        <is>
          <t>Blocked</t>
        </is>
      </c>
      <c r="E35" s="6" t="inlineStr">
        <is>
          <t>Set up Hermes after $10 OpenRouter decision</t>
        </is>
      </c>
      <c r="F35" s="6" t="inlineStr">
        <is>
          <t>Neko: OpenRouter free vs $10; be at laptop</t>
        </is>
      </c>
      <c r="G35" s="6" t="inlineStr">
        <is>
          <t>Neko</t>
        </is>
      </c>
      <c r="H35" s="6" t="inlineStr">
        <is>
          <t>Oct 16</t>
        </is>
      </c>
    </row>
    <row r="36">
      <c r="A36" s="6" t="inlineStr">
        <is>
          <t>T2</t>
        </is>
      </c>
      <c r="B36" s="6" t="inlineStr">
        <is>
          <t>Tech</t>
        </is>
      </c>
      <c r="C36" s="6" t="inlineStr">
        <is>
          <t>Replace trial connectors with free tools (Orshot, Buffer, TinyFish, Descript, ElevenLabs); Neko said 'different route' Oct 15</t>
        </is>
      </c>
      <c r="D36" s="6" t="inlineStr">
        <is>
          <t>On hold</t>
        </is>
      </c>
      <c r="E36" s="6" t="inlineStr">
        <is>
          <t>Ask Neko the new route</t>
        </is>
      </c>
      <c r="F36" s="6" t="inlineStr">
        <is>
          <t>Neko</t>
        </is>
      </c>
      <c r="G36" s="6" t="inlineStr">
        <is>
          <t>Neko</t>
        </is>
      </c>
      <c r="H36" s="6" t="inlineStr">
        <is>
          <t>Oct 16</t>
        </is>
      </c>
    </row>
    <row r="37">
      <c r="A37" s="6" t="inlineStr">
        <is>
          <t>R1</t>
        </is>
      </c>
      <c r="B37" s="6" t="inlineStr">
        <is>
          <t>Resume service</t>
        </is>
      </c>
      <c r="C37" s="6" t="inlineStr">
        <is>
          <t>Aviation resume service: Wix page live ($49), card made, nothing posted, no sales; Neko doubts niche</t>
        </is>
      </c>
      <c r="D37" s="6" t="inlineStr">
        <is>
          <t>On hold</t>
        </is>
      </c>
      <c r="E37" s="6" t="inlineStr">
        <is>
          <t>Neko decides: pivot or drop</t>
        </is>
      </c>
      <c r="F37" s="6" t="inlineStr">
        <is>
          <t>Neko: payment handles, logins, direction</t>
        </is>
      </c>
      <c r="G37" s="6" t="inlineStr">
        <is>
          <t>Neko</t>
        </is>
      </c>
      <c r="H37" s="6" t="inlineStr">
        <is>
          <t>Oct 16</t>
        </is>
      </c>
    </row>
    <row r="38">
      <c r="A38" s="6" t="inlineStr">
        <is>
          <t>X1</t>
        </is>
      </c>
      <c r="B38" s="6" t="inlineStr">
        <is>
          <t>Spending</t>
        </is>
      </c>
      <c r="C38" s="6" t="inlineStr">
        <is>
          <t>Promo credits for John/Proverbs (~210 Flow credits each) - ask first; free path instead</t>
        </is>
      </c>
      <c r="D38" s="6" t="inlineStr">
        <is>
          <t>On hold</t>
        </is>
      </c>
      <c r="E38" s="6" t="inlineStr">
        <is>
          <t>Use free path or get yes</t>
        </is>
      </c>
      <c r="F38" s="6" t="inlineStr">
        <is>
          <t>Neko: credit approval</t>
        </is>
      </c>
      <c r="G38" s="6" t="inlineStr">
        <is>
          <t>Neko</t>
        </is>
      </c>
      <c r="H38" s="6" t="inlineStr">
        <is>
          <t>Oct 16</t>
        </is>
      </c>
    </row>
    <row r="39">
      <c r="A39" s="6" t="inlineStr">
        <is>
          <t>X2</t>
        </is>
      </c>
      <c r="B39" s="6" t="inlineStr">
        <is>
          <t>Music</t>
        </is>
      </c>
      <c r="C39" s="6" t="inlineStr">
        <is>
          <t>Psalms 82-150 glitch fix: closed by Neko ('leave it')</t>
        </is>
      </c>
      <c r="D39" s="6" t="inlineStr">
        <is>
          <t>Done</t>
        </is>
      </c>
      <c r="E39" s="6" t="inlineStr">
        <is>
          <t>None</t>
        </is>
      </c>
      <c r="F39" s="6" t="inlineStr"/>
      <c r="G39" s="6" t="inlineStr">
        <is>
          <t>Neko</t>
        </is>
      </c>
      <c r="H39" s="6" t="inlineStr">
        <is>
          <t>Oct 16</t>
        </is>
      </c>
    </row>
    <row r="40">
      <c r="A40" s="6" t="inlineStr">
        <is>
          <t>D1</t>
        </is>
      </c>
      <c r="B40" s="6" t="inlineStr">
        <is>
          <t>Morning Word</t>
        </is>
      </c>
      <c r="C40" s="6" t="inlineStr">
        <is>
          <t>LOCKED Oct 16: Derrick episodes Monday to Friday only; no Sat/Sun episodes</t>
        </is>
      </c>
      <c r="D40" s="6" t="inlineStr">
        <is>
          <t>Done</t>
        </is>
      </c>
      <c r="E40" s="6" t="inlineStr">
        <is>
          <t>Build Mon-Fri only</t>
        </is>
      </c>
      <c r="F40" s="6" t="inlineStr"/>
      <c r="G40" s="6" t="inlineStr">
        <is>
          <t>Neko</t>
        </is>
      </c>
      <c r="H40" s="6" t="inlineStr">
        <is>
          <t>Oct 16</t>
        </is>
      </c>
    </row>
    <row r="41">
      <c r="A41" s="6" t="inlineStr">
        <is>
          <t>D2</t>
        </is>
      </c>
      <c r="B41" s="6" t="inlineStr">
        <is>
          <t>Morning Word</t>
        </is>
      </c>
      <c r="C41" s="6" t="inlineStr">
        <is>
          <t>Main route is Google Flow; HeyGen only until its credits run out (renews Nov 15, will NOT be renewed)</t>
        </is>
      </c>
      <c r="D41" s="6" t="inlineStr">
        <is>
          <t>Done</t>
        </is>
      </c>
      <c r="E41" s="6" t="inlineStr">
        <is>
          <t>Use HeyGen credits on Derrick episodes before then</t>
        </is>
      </c>
      <c r="F41" s="6" t="inlineStr"/>
      <c r="G41" s="6" t="inlineStr">
        <is>
          <t>Neko</t>
        </is>
      </c>
      <c r="H41" s="6" t="inlineStr">
        <is>
          <t>Oct 16</t>
        </is>
      </c>
    </row>
    <row r="42">
      <c r="A42" s="6" t="inlineStr">
        <is>
          <t>D3</t>
        </is>
      </c>
      <c r="B42" s="6" t="inlineStr">
        <is>
          <t>Morning Word</t>
        </is>
      </c>
      <c r="C42" s="6" t="inlineStr">
        <is>
          <t>Mic-over-mouth Derrick still made in Flow (Sep 24 project, first tile in All media); Neko says it looks good. Use only for free-pipeline tests when lip-sync fails</t>
        </is>
      </c>
      <c r="D42" s="6" t="inlineStr">
        <is>
          <t>Done</t>
        </is>
      </c>
      <c r="E42" s="6" t="inlineStr">
        <is>
          <t>Animate only on Neko's go; check credit cost first</t>
        </is>
      </c>
      <c r="F42" s="6" t="inlineStr"/>
      <c r="G42" s="6" t="inlineStr">
        <is>
          <t>Claude</t>
        </is>
      </c>
      <c r="H42" s="6" t="inlineStr">
        <is>
          <t>Oct 16</t>
        </is>
      </c>
    </row>
    <row r="43">
      <c r="A43" s="6" t="inlineStr">
        <is>
          <t>D4</t>
        </is>
      </c>
      <c r="B43" s="6" t="inlineStr">
        <is>
          <t>Morning Word</t>
        </is>
      </c>
      <c r="C43" s="6" t="inlineStr">
        <is>
          <t>FALLBACK if Flow credits run out or Flow breaks: MiniMax H3 official API ($0.08/sec, about $1.20 per 15s). Self-hosting the open weights is NOT allowed in the U.S. (license excludes US). APIYI reseller $0.03/sec unverified for US use</t>
        </is>
      </c>
      <c r="D43" s="6" t="inlineStr">
        <is>
          <t>On hold</t>
        </is>
      </c>
      <c r="E43" s="6" t="inlineStr">
        <is>
          <t>Revisit only if Flow fails; one test clip first</t>
        </is>
      </c>
      <c r="F43" s="6" t="inlineStr">
        <is>
          <t>Neko: sign up + key as repo secret</t>
        </is>
      </c>
      <c r="G43" s="6" t="inlineStr">
        <is>
          <t>Neko</t>
        </is>
      </c>
      <c r="H43" s="6" t="inlineStr">
        <is>
          <t>Oct 16</t>
        </is>
      </c>
    </row>
    <row r="44">
      <c r="A44" s="6" t="inlineStr">
        <is>
          <t>D5</t>
        </is>
      </c>
      <c r="B44" s="6" t="inlineStr">
        <is>
          <t>Morning Word</t>
        </is>
      </c>
      <c r="C44" s="6" t="inlineStr">
        <is>
          <t>Flow credits (Pro): 1000/mo + 50 free/day. Lite 10, Fast 20, Quality 100 per clip. Keep clips 6-7s, lines under 20 words, use edits not full regenerates</t>
        </is>
      </c>
      <c r="D44" s="6" t="inlineStr">
        <is>
          <t>Done</t>
        </is>
      </c>
      <c r="E44" s="6" t="inlineStr">
        <is>
          <t>Run Lite test before finals</t>
        </is>
      </c>
      <c r="F44" s="6" t="inlineStr"/>
      <c r="G44" s="6" t="inlineStr">
        <is>
          <t>Claude</t>
        </is>
      </c>
      <c r="H44" s="6" t="inlineStr">
        <is>
          <t>Oct 16</t>
        </is>
      </c>
    </row>
    <row r="45">
      <c r="A45" s="6" t="inlineStr">
        <is>
          <t>D6</t>
        </is>
      </c>
      <c r="B45" s="6" t="inlineStr">
        <is>
          <t>Morning Word</t>
        </is>
      </c>
      <c r="C45" s="6" t="inlineStr">
        <is>
          <t>Monday Oct 19 Derrick episode: nothing built or queued in Buffer</t>
        </is>
      </c>
      <c r="D45" s="6" t="inlineStr">
        <is>
          <t>Not started</t>
        </is>
      </c>
      <c r="E45" s="6" t="inlineStr">
        <is>
          <t>Build after HeyGen voice change or in Flow</t>
        </is>
      </c>
      <c r="F45" s="6" t="inlineStr">
        <is>
          <t>M3 (HeyGen voice) if using HeyGen</t>
        </is>
      </c>
      <c r="G45" s="6" t="inlineStr">
        <is>
          <t>Claude</t>
        </is>
      </c>
      <c r="H45" s="6" t="inlineStr">
        <is>
          <t>Oct 16</t>
        </is>
      </c>
    </row>
    <row r="46">
      <c r="A46" s="6" t="inlineStr">
        <is>
          <t>Z1</t>
        </is>
      </c>
      <c r="B46" s="6" t="inlineStr">
        <is>
          <t>Neko Zion</t>
        </is>
      </c>
      <c r="C46" s="6" t="inlineStr">
        <is>
          <t>Joined 6 gospel reggae FB groups (instant, no approval)</t>
        </is>
      </c>
      <c r="D46" s="6" t="inlineStr">
        <is>
          <t>Done</t>
        </is>
      </c>
      <c r="E46" s="6" t="inlineStr">
        <is>
          <t>Join Roots Reggae Gospel, Jamaica Reggae Gospel Amen, Gospel/Christian Rap, Gospel Music History, Gospel Music Videos Network</t>
        </is>
      </c>
      <c r="F46" s="6" t="inlineStr"/>
      <c r="G46" s="6" t="inlineStr">
        <is>
          <t>Claude</t>
        </is>
      </c>
      <c r="H46" s="6" t="inlineStr">
        <is>
          <t>Oct 16 11:50 PM ET</t>
        </is>
      </c>
    </row>
    <row r="47">
      <c r="A47" s="6" t="inlineStr">
        <is>
          <t>Z2</t>
        </is>
      </c>
      <c r="B47" s="6" t="inlineStr">
        <is>
          <t>Neko Zion</t>
        </is>
      </c>
      <c r="C47" s="6" t="inlineStr">
        <is>
          <t>Word For Today pre-save posted in Gospel reggae (10.8K) and Reggae gospel songs (15.3K)</t>
        </is>
      </c>
      <c r="D47" s="6" t="inlineStr">
        <is>
          <t>Done</t>
        </is>
      </c>
      <c r="E47" s="6" t="inlineStr">
        <is>
          <t>None</t>
        </is>
      </c>
      <c r="F47" s="6" t="inlineStr"/>
      <c r="G47" s="6" t="inlineStr">
        <is>
          <t>Claude</t>
        </is>
      </c>
      <c r="H47" s="6" t="inlineStr">
        <is>
          <t>Oct 16 11:50 PM ET</t>
        </is>
      </c>
    </row>
    <row r="48">
      <c r="A48" s="6" t="inlineStr">
        <is>
          <t>Z3</t>
        </is>
      </c>
      <c r="B48" s="6" t="inlineStr">
        <is>
          <t>Neko Zion</t>
        </is>
      </c>
      <c r="C48" s="6" t="inlineStr">
        <is>
          <t>Push to Hymn Reimagined, Reggae Gospel, Reggae Gospel Link, GospelReggae.com, Zion Reggae Gospel: scheduled task Oct 18-20 10:47 AM ET, 3 groups per run, One Love One World video + pre-save</t>
        </is>
      </c>
      <c r="D48" s="6" t="inlineStr">
        <is>
          <t>In progress</t>
        </is>
      </c>
      <c r="E48" s="6" t="inlineStr">
        <is>
          <t>Task runs on its own; confirm posts after Oct 20</t>
        </is>
      </c>
      <c r="F48" s="6" t="inlineStr">
        <is>
          <t>Computer must be on with Claude desktop app open</t>
        </is>
      </c>
      <c r="G48" s="6" t="inlineStr">
        <is>
          <t>Claude</t>
        </is>
      </c>
      <c r="H48" s="6" t="inlineStr">
        <is>
          <t>Oct 16 11:50 PM ET</t>
        </is>
      </c>
    </row>
    <row r="49">
      <c r="A49" s="6" t="inlineStr">
        <is>
          <t>Z4</t>
        </is>
      </c>
      <c r="B49" s="6" t="inlineStr">
        <is>
          <t>Neko Zion</t>
        </is>
      </c>
      <c r="C49" s="6" t="inlineStr">
        <is>
          <t>Word For Today promo video</t>
        </is>
      </c>
      <c r="D49" s="6" t="inlineStr">
        <is>
          <t>Not started</t>
        </is>
      </c>
      <c r="E49" s="6" t="inlineStr">
        <is>
          <t>Make after the pre-save push</t>
        </is>
      </c>
      <c r="F49" s="6" t="inlineStr"/>
      <c r="G49" s="6" t="inlineStr">
        <is>
          <t>Claude</t>
        </is>
      </c>
      <c r="H49" s="6" t="inlineStr">
        <is>
          <t>Oct 16 11:50 PM ET</t>
        </is>
      </c>
    </row>
    <row r="50">
      <c r="A50" s="6" t="inlineStr">
        <is>
          <t>Z5</t>
        </is>
      </c>
      <c r="B50" s="6" t="inlineStr">
        <is>
          <t>Neko Zion</t>
        </is>
      </c>
      <c r="C50" s="6" t="inlineStr">
        <is>
          <t>Copyright day Tue Oct 20, 2-5 PM ET on calendar</t>
        </is>
      </c>
      <c r="D50" s="6" t="inlineStr">
        <is>
          <t>Done</t>
        </is>
      </c>
      <c r="E50" s="6" t="inlineStr">
        <is>
          <t>None</t>
        </is>
      </c>
      <c r="F50" s="6" t="inlineStr"/>
      <c r="G50" s="6" t="inlineStr">
        <is>
          <t>Claude</t>
        </is>
      </c>
      <c r="H50" s="6" t="inlineStr">
        <is>
          <t>Oct 16 11:50 PM ET</t>
        </is>
      </c>
    </row>
    <row r="51">
      <c r="A51" s="6" t="inlineStr">
        <is>
          <t>Z6</t>
        </is>
      </c>
      <c r="B51" s="6" t="inlineStr">
        <is>
          <t>Neko Zion</t>
        </is>
      </c>
      <c r="C51" s="6" t="inlineStr">
        <is>
          <t>Fiverr license letters from Vaizal (8 PDFs): 1 of 8 read</t>
        </is>
      </c>
      <c r="D51" s="6" t="inlineStr">
        <is>
          <t>In progress</t>
        </is>
      </c>
      <c r="E51" s="6" t="inlineStr">
        <is>
          <t>Read other 7, map each to a song</t>
        </is>
      </c>
      <c r="F51" s="6" t="inlineStr"/>
      <c r="G51" s="6" t="inlineStr">
        <is>
          <t>Claude</t>
        </is>
      </c>
      <c r="H51" s="6" t="inlineStr">
        <is>
          <t>Oct 16 11:50 PM ET</t>
        </is>
      </c>
    </row>
    <row r="52">
      <c r="A52" s="6" t="inlineStr">
        <is>
          <t>Z7</t>
        </is>
      </c>
      <c r="B52" s="6" t="inlineStr">
        <is>
          <t>Neko Zion</t>
        </is>
      </c>
      <c r="C52" s="6" t="inlineStr">
        <is>
          <t>Locate song audio files and lyrics (not in Gmail label 'music and royalty stuff')</t>
        </is>
      </c>
      <c r="D52" s="6" t="inlineStr">
        <is>
          <t>Not started</t>
        </is>
      </c>
      <c r="E52" s="6" t="inlineStr">
        <is>
          <t>Search Drive and Gmail</t>
        </is>
      </c>
      <c r="F52" s="6" t="inlineStr"/>
      <c r="G52" s="6" t="inlineStr">
        <is>
          <t>Claude</t>
        </is>
      </c>
      <c r="H52" s="6" t="inlineStr">
        <is>
          <t>Oct 16 11:50 PM ET</t>
        </is>
      </c>
    </row>
    <row r="53">
      <c r="A53" s="6" t="inlineStr">
        <is>
          <t>Z8</t>
        </is>
      </c>
      <c r="B53" s="6" t="inlineStr">
        <is>
          <t>Neko Zion</t>
        </is>
      </c>
      <c r="C53" s="6" t="inlineStr">
        <is>
          <t>Copyright Office: Island of Peace first, then Word For Today and rest of One Love One World (that album filed 4/22/2026). AI origin disclosed briefly and excluded from claim</t>
        </is>
      </c>
      <c r="D53" s="6" t="inlineStr">
        <is>
          <t>Not started</t>
        </is>
      </c>
      <c r="E53" s="6" t="inlineStr">
        <is>
          <t>Tue Oct 20: Neko logs in, pays, uploads audio; Claude fills fields</t>
        </is>
      </c>
      <c r="F53" s="6" t="inlineStr">
        <is>
          <t>Neko: login, payment, audio upload</t>
        </is>
      </c>
      <c r="G53" s="6" t="inlineStr">
        <is>
          <t>Neko</t>
        </is>
      </c>
      <c r="H53" s="6" t="inlineStr">
        <is>
          <t>Oct 16 11:50 PM ET</t>
        </is>
      </c>
    </row>
    <row r="54">
      <c r="A54" s="6" t="inlineStr">
        <is>
          <t>Z9</t>
        </is>
      </c>
      <c r="B54" s="6" t="inlineStr">
        <is>
          <t>Neko Zion</t>
        </is>
      </c>
      <c r="C54" s="6" t="inlineStr">
        <is>
          <t>BMI, MLC, SoundExchange, Songtrust for other tracks</t>
        </is>
      </c>
      <c r="D54" s="6" t="inlineStr">
        <is>
          <t>Not started</t>
        </is>
      </c>
      <c r="E54" s="6" t="inlineStr">
        <is>
          <t>After copyright day</t>
        </is>
      </c>
      <c r="F54" s="6" t="inlineStr"/>
      <c r="G54" s="6" t="inlineStr">
        <is>
          <t>Claude</t>
        </is>
      </c>
      <c r="H54" s="6" t="inlineStr">
        <is>
          <t>Oct 16 11:50 PM ET</t>
        </is>
      </c>
    </row>
    <row r="55">
      <c r="A55" s="6" t="inlineStr">
        <is>
          <t>Z10</t>
        </is>
      </c>
      <c r="B55" s="6" t="inlineStr">
        <is>
          <t>Neko Zion</t>
        </is>
      </c>
      <c r="C55" s="6" t="inlineStr">
        <is>
          <t>Facebook Pages Prince Neko and Neko Zion not in Business Suite; X not connected</t>
        </is>
      </c>
      <c r="D55" s="6" t="inlineStr">
        <is>
          <t>Not started</t>
        </is>
      </c>
      <c r="E55" s="6" t="inlineStr">
        <is>
          <t>Fix Business Suite; connect X</t>
        </is>
      </c>
      <c r="F55" s="6" t="inlineStr">
        <is>
          <t>Neko: page access</t>
        </is>
      </c>
      <c r="G55" s="6" t="inlineStr">
        <is>
          <t>Neko</t>
        </is>
      </c>
      <c r="H55" s="6" t="inlineStr">
        <is>
          <t>Oct 16 11:50 PM ET</t>
        </is>
      </c>
    </row>
  </sheetData>
  <autoFilter ref="A1:H23"/>
  <conditionalFormatting sqref="D2:D200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  <cfRule type="cellIs" priority="4" operator="equal" dxfId="3">
      <formula>"On hold"</formula>
    </cfRule>
    <cfRule type="cellIs" priority="5" operator="equal" dxfId="4">
      <formula>"Not started"</formula>
    </cfRule>
  </conditionalFormatting>
  <dataValidations count="1">
    <dataValidation sqref="D2:D200" showDropDown="0" showInputMessage="0" showErrorMessage="0" allowBlank="0" type="list">
      <formula1>"Not started,In progress,Blocked,On hold,Done"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Rule</t>
        </is>
      </c>
      <c r="B1" s="2" t="inlineStr">
        <is>
          <t>Detail</t>
        </is>
      </c>
    </row>
    <row r="2">
      <c r="A2" s="7" t="inlineStr">
        <is>
          <t>Promo links</t>
        </is>
      </c>
      <c r="B2" s="7" t="inlineStr">
        <is>
          <t>Every sleep-Bible video and every promo for any book or channel carries the Kingdom Impact Shop link plus 3-4 relevant book links in the description. Set by Neko Oct 16, 2026.</t>
        </is>
      </c>
    </row>
    <row r="3">
      <c r="A3" s="7" t="inlineStr">
        <is>
          <t>Scripture</t>
        </is>
      </c>
      <c r="B3" s="7" t="inlineStr">
        <is>
          <t>KJV only. Do not announce it.</t>
        </is>
      </c>
    </row>
    <row r="4">
      <c r="A4" s="7" t="inlineStr">
        <is>
          <t>Derrick</t>
        </is>
      </c>
      <c r="B4" s="7" t="inlineStr">
        <is>
          <t>No 'tomorrow' promises. Never tag people in posts. Nothing posts without Neko's yes on that exact file.</t>
        </is>
      </c>
    </row>
    <row r="5">
      <c r="A5" s="7" t="inlineStr">
        <is>
          <t>Money</t>
        </is>
      </c>
      <c r="B5" s="7" t="inlineStr">
        <is>
          <t>Ask before spending any of his money or credits. Prefer free options (Gemini Pro plan).</t>
        </is>
      </c>
    </row>
    <row r="6">
      <c r="A6" s="7" t="inlineStr">
        <is>
          <t>Asleep work</t>
        </is>
      </c>
      <c r="B6" s="7" t="inlineStr">
        <is>
          <t>When Neko sleeps: work through the last threads, do the work, put it in overnight/ in the repo. No look-at-this asks.</t>
        </is>
      </c>
    </row>
    <row r="7">
      <c r="A7" s="7" t="inlineStr">
        <is>
          <t>Secrets</t>
        </is>
      </c>
      <c r="B7" s="7" t="inlineStr">
        <is>
          <t>Passwords and tokens never in chat.</t>
        </is>
      </c>
    </row>
    <row r="8">
      <c r="A8" s="7" t="inlineStr">
        <is>
          <t>Update habit</t>
        </is>
      </c>
      <c r="B8" s="7" t="inlineStr">
        <is>
          <t>After every piece of work, update Status, Next step and Updated on this sheet, commit and push before replying. Updated holds date AND time in Eastern, like 'Oct 16 11:50 PM ET'. Also set Last updated on the Where we are tab to the same stamp.</t>
        </is>
      </c>
    </row>
    <row r="9">
      <c r="A9" s="7" t="inlineStr">
        <is>
          <t>One tracker</t>
        </is>
      </c>
      <c r="B9" s="7" t="inlineStr">
        <is>
          <t>This file is the only tracker. Read Tasks, Standing rules and How it was done before answering any where-are-we question or asking Neko for anything. Never create another sheet or tracker. Neko rule Oct 16, 2026.</t>
        </is>
      </c>
    </row>
    <row r="10">
      <c r="A10" s="7" t="inlineStr">
        <is>
          <t>Stale check</t>
        </is>
      </c>
      <c r="B10" s="7" t="inlineStr">
        <is>
          <t>Before changing a row, read its Updated stamp. If it is newer than what you last read (another thread worked on it), git pull and reconcile first. Never overwrite a newer row with older information. Always git pull before editing and again before pushing.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2" t="inlineStr">
        <is>
          <t>Job</t>
        </is>
      </c>
      <c r="B1" s="2" t="inlineStr">
        <is>
          <t>Method that worked</t>
        </is>
      </c>
      <c r="C1" s="2" t="inlineStr">
        <is>
          <t>Where / notes</t>
        </is>
      </c>
    </row>
    <row r="2">
      <c r="A2" s="7" t="inlineStr">
        <is>
          <t>Derrick episode in Flow</t>
        </is>
      </c>
      <c r="B2" s="7" t="inlineStr">
        <is>
          <t>Open Derrick project in Chrome (signed in as neko.husser@gmail.com). Add derrick-gray still as reference, type script clip (about 15 words), generate Veo 3.1 Lite 9:16. Stitch, caption, -14 LUFS in ffmpeg. Send ONE captioned MP4 for approval.</t>
        </is>
      </c>
      <c r="C2" s="7" t="inlineStr">
        <is>
          <t>Project flow.google.com/u/0/project/0a90fb26-707c-45ae-aae4-61a8d163a56b. Keep other Chrome tabs closed. Screenshots in Chrome often time out; use get_page_text.</t>
        </is>
      </c>
    </row>
    <row r="3">
      <c r="A3" s="7" t="inlineStr">
        <is>
          <t>Make a new Derrick still in Flow</t>
        </is>
      </c>
      <c r="B3" s="7" t="inlineStr">
        <is>
          <t>Flow side panel: ingredients (+) button, pick derrick-gray.png from the asset list, Add to prompt, type description, send. Agent confirms before generating; image is free (Nano Banana).</t>
        </is>
      </c>
      <c r="C3" s="7" t="inlineStr">
        <is>
          <t>Done Oct 16 for the mic still.</t>
        </is>
      </c>
    </row>
    <row r="4">
      <c r="A4" s="7" t="inlineStr">
        <is>
          <t>Animate a still</t>
        </is>
      </c>
      <c r="B4" s="7" t="inlineStr">
        <is>
          <t>Flow shows an Animate button under each still. Check the credit cost shown first; Lite is 10 credits.</t>
        </is>
      </c>
      <c r="C4" s="7" t="inlineStr">
        <is>
          <t>Not tested yet.</t>
        </is>
      </c>
    </row>
    <row r="5">
      <c r="A5" s="7" t="inlineStr">
        <is>
          <t>Verse short or sleep video to Buffer</t>
        </is>
      </c>
      <c r="B5" s="7" t="inlineStr">
        <is>
          <t>Render on GitHub Actions, commit mp4 to repo, queue in Buffer (YouTube, TikTok, Instagram) with raw.githubusercontent URL.</t>
        </is>
      </c>
      <c r="C5" s="7" t="inlineStr">
        <is>
          <t>Buffer cap 10 queued per channel. See workflow-playbook memory.</t>
        </is>
      </c>
    </row>
    <row r="6">
      <c r="A6" s="7" t="inlineStr">
        <is>
          <t>Facebook group post or join</t>
        </is>
      </c>
      <c r="B6" s="7" t="inlineStr">
        <is>
          <t>Built-in browser pane (needs laptop awake, pane visible), logged in as Blessed Prayers. Link posts only.</t>
        </is>
      </c>
      <c r="C6" s="7" t="inlineStr">
        <is>
          <t>About 3 groups a day, read rules first.</t>
        </is>
      </c>
    </row>
    <row r="7">
      <c r="A7" s="7" t="inlineStr">
        <is>
          <t>Flow credit saving</t>
        </is>
      </c>
      <c r="B7" s="7" t="inlineStr">
        <is>
          <t>Lite not Quality; one output; 6-7s clips; targeted edits instead of full regenerate; use the free daily 50 credits.</t>
        </is>
      </c>
      <c r="C7" s="7" t="inlineStr">
        <is>
          <t>Source: Google Flow credits help page.</t>
        </is>
      </c>
    </row>
    <row r="8">
      <c r="A8" s="7" t="inlineStr">
        <is>
          <t>HeyGen voice fix</t>
        </is>
      </c>
      <c r="B8" s="7" t="inlineStr">
        <is>
          <t>Voice picker, Import from ElevenLabs (Neko types his own API key) or Clone from approved sample. Voice must be ElevenLabs Derrick Hughes, deeper and more masculine.</t>
        </is>
      </c>
      <c r="C8" s="7" t="inlineStr">
        <is>
          <t>Neko does the login/key step.</t>
        </is>
      </c>
    </row>
    <row r="9">
      <c r="A9" s="7" t="inlineStr">
        <is>
          <t>Copyright Office (eCO)</t>
        </is>
      </c>
      <c r="B9" s="7" t="inlineStr">
        <is>
          <t>eco.copyright.gov in the built-in browser. Neko does login, payment and audio upload; Claude fills every other field. Suno-made audio is disclosed as AI and excluded from the claim; claim is lyrics and human production (Vaizal transfer of rights).</t>
        </is>
      </c>
      <c r="C9" s="7" t="inlineStr">
        <is>
          <t>Fiverr license letters: fiverr.com/inbox/pesanmusik, open PDF link in the pane and read by screenshot.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2026-10-16T12:44:48Z</dcterms:created>
  <dcterms:modified xmlns:dcterms="http://purl.org/dc/terms/" xmlns:xsi="http://www.w3.org/2001/XMLSchema-instance" xsi:type="dcterms:W3CDTF">2026-10-17T03:48:06Z</dcterms:modified>
</cp:coreProperties>
</file>